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ning Annuel TSDI modifié" sheetId="1" r:id="rId5"/>
  </sheets>
  <definedNames/>
  <calcPr/>
</workbook>
</file>

<file path=xl/sharedStrings.xml><?xml version="1.0" encoding="utf-8"?>
<sst xmlns="http://schemas.openxmlformats.org/spreadsheetml/2006/main" count="77" uniqueCount="55">
  <si>
    <t xml:space="preserve">                     Planning prévisionnel de réalisation des unités de formation du programme de la filière                                                                                                                                                          " Développement Informatique  "    -  Année Scolaire: 2024- 2025</t>
  </si>
  <si>
    <t>Unités de formation</t>
  </si>
  <si>
    <t>Formateur</t>
  </si>
  <si>
    <t>Code formateur</t>
  </si>
  <si>
    <t>VHG</t>
  </si>
  <si>
    <t xml:space="preserve">Octobre 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</si>
  <si>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</si>
  <si>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</si>
  <si>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</si>
  <si>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</si>
  <si>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</si>
  <si>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</si>
  <si>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</si>
  <si>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</si>
  <si>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</si>
  <si>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</si>
  <si>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VH réalisé</t>
  </si>
  <si>
    <t>VH restant</t>
  </si>
  <si>
    <t>Le % réalisé</t>
  </si>
  <si>
    <t>1- Métier et formation</t>
  </si>
  <si>
    <t>I2</t>
  </si>
  <si>
    <t>2- L’entreprise et son environnement</t>
  </si>
  <si>
    <t>G3</t>
  </si>
  <si>
    <t>3- Notions De mathématiques appliquées à l'informatique</t>
  </si>
  <si>
    <t>4- Gestion Du temps</t>
  </si>
  <si>
    <t>5-Veille technologique</t>
  </si>
  <si>
    <t>6-Production De Documents</t>
  </si>
  <si>
    <t>L2</t>
  </si>
  <si>
    <t>7-Communication interpersonnelle</t>
  </si>
  <si>
    <t>8-Logiciels D’application</t>
  </si>
  <si>
    <t>I3</t>
  </si>
  <si>
    <t>9- Programmation événementielle</t>
  </si>
  <si>
    <t>10- Techniques De programmation structurée</t>
  </si>
  <si>
    <t>11- Langage De programmation structurée</t>
  </si>
  <si>
    <t>12- Programmation orientée objet</t>
  </si>
  <si>
    <t>DP</t>
  </si>
  <si>
    <t>13- Conception et modélisation D’un système D’information</t>
  </si>
  <si>
    <t>14- Installation D’un poste informatique</t>
  </si>
  <si>
    <t>15- Communication en anglais Dans un contexte De travail</t>
  </si>
  <si>
    <t>L1</t>
  </si>
  <si>
    <t>16- Assistance technique à la clientèle</t>
  </si>
  <si>
    <t>I1</t>
  </si>
  <si>
    <t>17- Soutien technique en milieu De travail (Stage I)</t>
  </si>
  <si>
    <t>18- Système De gestion De base De Donnée I</t>
  </si>
  <si>
    <t>19- Analyse et conception orientée objet</t>
  </si>
  <si>
    <t>20- Programmation Client-serveur</t>
  </si>
  <si>
    <t>21- Déploiement D’application</t>
  </si>
  <si>
    <t>22- IntroDuction aux réseaux informatiques</t>
  </si>
  <si>
    <t>23- Système De gestion De base De Donnée II</t>
  </si>
  <si>
    <t>24- Applications hyperméDias</t>
  </si>
  <si>
    <t>25- Programmation De sites Web Dynamiques</t>
  </si>
  <si>
    <t>26- Initiation à la gestion De projets informatiques</t>
  </si>
  <si>
    <t>27- Projet De conception De fin D’étuDes</t>
  </si>
  <si>
    <t>28- Recherche D’emploi</t>
  </si>
  <si>
    <t>29- Intégration au milieu Du travail (Stage II)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</si>
</sst>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20.0"/>
      <color theme="1"/>
      <name val="Calibri"/>
    </font>
    <font>
      <b/>
      <sz val="11.0"/>
      <color theme="1"/>
      <name val="Calibri"/>
    </font>
    <font/>
    <font>
      <b/>
      <sz val="10.0"/>
      <color theme="1"/>
      <name val="Calibri"/>
    </font>
    <font>
      <b/>
      <sz val="9.0"/>
      <color theme="1"/>
      <name val="Calibri"/>
    </font>
    <font>
      <sz val="11.0"/>
      <color theme="1"/>
      <name val="Calibri"/>
    </font>
    <font>
      <sz val="10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</fills>
  <borders count="57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2" fontId="2" numFmtId="0" xfId="0" applyAlignment="1" applyBorder="1" applyFont="1">
      <alignment horizontal="center" shrinkToFit="0" vertical="center" wrapText="1"/>
    </xf>
    <xf borderId="4" fillId="3" fontId="2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4" fillId="3" fontId="4" numFmtId="0" xfId="0" applyAlignment="1" applyBorder="1" applyFont="1">
      <alignment horizontal="center" shrinkToFit="0" wrapText="1"/>
    </xf>
    <xf borderId="4" fillId="2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horizontal="center" shrinkToFit="0" vertical="center" wrapText="1"/>
    </xf>
    <xf borderId="8" fillId="2" fontId="5" numFmtId="0" xfId="0" applyAlignment="1" applyBorder="1" applyFont="1">
      <alignment shrinkToFit="0" vertical="center" wrapText="1"/>
    </xf>
    <xf borderId="9" fillId="3" fontId="6" numFmtId="0" xfId="0" applyBorder="1" applyFont="1"/>
    <xf borderId="10" fillId="2" fontId="6" numFmtId="0" xfId="0" applyAlignment="1" applyBorder="1" applyFont="1">
      <alignment horizontal="center"/>
    </xf>
    <xf borderId="9" fillId="3" fontId="6" numFmtId="0" xfId="0" applyAlignment="1" applyBorder="1" applyFont="1">
      <alignment horizontal="center"/>
    </xf>
    <xf borderId="11" fillId="4" fontId="4" numFmtId="0" xfId="0" applyAlignment="1" applyBorder="1" applyFill="1" applyFont="1">
      <alignment horizontal="center"/>
    </xf>
    <xf borderId="12" fillId="4" fontId="4" numFmtId="0" xfId="0" applyAlignment="1" applyBorder="1" applyFont="1">
      <alignment horizontal="center"/>
    </xf>
    <xf borderId="13" fillId="4" fontId="4" numFmtId="0" xfId="0" applyAlignment="1" applyBorder="1" applyFont="1">
      <alignment horizontal="center"/>
    </xf>
    <xf borderId="14" fillId="0" fontId="7" numFmtId="0" xfId="0" applyBorder="1" applyFont="1"/>
    <xf borderId="15" fillId="0" fontId="7" numFmtId="0" xfId="0" applyBorder="1" applyFont="1"/>
    <xf borderId="16" fillId="0" fontId="7" numFmtId="0" xfId="0" applyBorder="1" applyFont="1"/>
    <xf borderId="17" fillId="0" fontId="7" numFmtId="0" xfId="0" applyBorder="1" applyFont="1"/>
    <xf borderId="18" fillId="0" fontId="7" numFmtId="0" xfId="0" applyBorder="1" applyFont="1"/>
    <xf borderId="19" fillId="0" fontId="7" numFmtId="0" xfId="0" applyBorder="1" applyFont="1"/>
    <xf borderId="20" fillId="0" fontId="7" numFmtId="0" xfId="0" applyBorder="1" applyFont="1"/>
    <xf borderId="21" fillId="0" fontId="7" numFmtId="0" xfId="0" applyBorder="1" applyFont="1"/>
    <xf borderId="16" fillId="0" fontId="6" numFmtId="0" xfId="0" applyBorder="1" applyFont="1"/>
    <xf borderId="14" fillId="0" fontId="6" numFmtId="0" xfId="0" applyBorder="1" applyFont="1"/>
    <xf borderId="9" fillId="3" fontId="6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22" fillId="3" fontId="6" numFmtId="9" xfId="0" applyAlignment="1" applyBorder="1" applyFont="1" applyNumberFormat="1">
      <alignment horizontal="center" vertical="center"/>
    </xf>
    <xf borderId="23" fillId="2" fontId="5" numFmtId="0" xfId="0" applyAlignment="1" applyBorder="1" applyFont="1">
      <alignment shrinkToFit="0" vertical="center" wrapText="1"/>
    </xf>
    <xf borderId="24" fillId="3" fontId="6" numFmtId="0" xfId="0" applyBorder="1" applyFont="1"/>
    <xf borderId="25" fillId="2" fontId="6" numFmtId="0" xfId="0" applyAlignment="1" applyBorder="1" applyFont="1">
      <alignment horizontal="center"/>
    </xf>
    <xf borderId="24" fillId="3" fontId="6" numFmtId="0" xfId="0" applyAlignment="1" applyBorder="1" applyFont="1">
      <alignment horizontal="center"/>
    </xf>
    <xf borderId="26" fillId="4" fontId="4" numFmtId="0" xfId="0" applyAlignment="1" applyBorder="1" applyFont="1">
      <alignment horizontal="center"/>
    </xf>
    <xf borderId="27" fillId="4" fontId="4" numFmtId="0" xfId="0" applyAlignment="1" applyBorder="1" applyFont="1">
      <alignment horizontal="center"/>
    </xf>
    <xf borderId="28" fillId="4" fontId="4" numFmtId="0" xfId="0" applyAlignment="1" applyBorder="1" applyFont="1">
      <alignment horizontal="center"/>
    </xf>
    <xf borderId="28" fillId="0" fontId="7" numFmtId="0" xfId="0" applyBorder="1" applyFont="1"/>
    <xf borderId="26" fillId="0" fontId="7" numFmtId="0" xfId="0" applyBorder="1" applyFont="1"/>
    <xf borderId="27" fillId="0" fontId="7" numFmtId="0" xfId="0" applyBorder="1" applyFont="1"/>
    <xf borderId="29" fillId="0" fontId="7" numFmtId="0" xfId="0" applyBorder="1" applyFont="1"/>
    <xf borderId="30" fillId="0" fontId="7" numFmtId="0" xfId="0" applyBorder="1" applyFont="1"/>
    <xf borderId="27" fillId="0" fontId="6" numFmtId="0" xfId="0" applyBorder="1" applyFont="1"/>
    <xf borderId="28" fillId="0" fontId="6" numFmtId="0" xfId="0" applyBorder="1" applyFont="1"/>
    <xf borderId="22" fillId="3" fontId="6" numFmtId="0" xfId="0" applyAlignment="1" applyBorder="1" applyFont="1">
      <alignment horizontal="center" vertical="center"/>
    </xf>
    <xf borderId="22" fillId="2" fontId="6" numFmtId="0" xfId="0" applyAlignment="1" applyBorder="1" applyFont="1">
      <alignment horizontal="center" vertical="center"/>
    </xf>
    <xf borderId="27" fillId="5" fontId="4" numFmtId="0" xfId="0" applyAlignment="1" applyBorder="1" applyFill="1" applyFont="1">
      <alignment horizontal="center"/>
    </xf>
    <xf borderId="31" fillId="5" fontId="4" numFmtId="0" xfId="0" applyAlignment="1" applyBorder="1" applyFont="1">
      <alignment horizontal="center"/>
    </xf>
    <xf borderId="26" fillId="5" fontId="4" numFmtId="0" xfId="0" applyAlignment="1" applyBorder="1" applyFont="1">
      <alignment horizontal="center"/>
    </xf>
    <xf borderId="28" fillId="5" fontId="7" numFmtId="0" xfId="0" applyBorder="1" applyFont="1"/>
    <xf borderId="27" fillId="5" fontId="7" numFmtId="0" xfId="0" applyBorder="1" applyFont="1"/>
    <xf borderId="31" fillId="5" fontId="7" numFmtId="0" xfId="0" applyBorder="1" applyFont="1"/>
    <xf borderId="26" fillId="5" fontId="7" numFmtId="0" xfId="0" applyBorder="1" applyFont="1"/>
    <xf borderId="32" fillId="2" fontId="5" numFmtId="0" xfId="0" applyAlignment="1" applyBorder="1" applyFont="1">
      <alignment shrinkToFit="0" vertical="center" wrapText="1"/>
    </xf>
    <xf borderId="33" fillId="3" fontId="6" numFmtId="0" xfId="0" applyBorder="1" applyFont="1"/>
    <xf borderId="34" fillId="2" fontId="6" numFmtId="0" xfId="0" applyAlignment="1" applyBorder="1" applyFont="1">
      <alignment horizontal="center"/>
    </xf>
    <xf borderId="33" fillId="3" fontId="6" numFmtId="0" xfId="0" applyAlignment="1" applyBorder="1" applyFont="1">
      <alignment horizontal="center"/>
    </xf>
    <xf borderId="35" fillId="0" fontId="7" numFmtId="0" xfId="0" applyBorder="1" applyFont="1"/>
    <xf borderId="36" fillId="0" fontId="7" numFmtId="0" xfId="0" applyBorder="1" applyFont="1"/>
    <xf borderId="37" fillId="0" fontId="7" numFmtId="0" xfId="0" applyBorder="1" applyFont="1"/>
    <xf borderId="38" fillId="0" fontId="7" numFmtId="0" xfId="0" applyBorder="1" applyFont="1"/>
    <xf borderId="35" fillId="4" fontId="4" numFmtId="0" xfId="0" applyAlignment="1" applyBorder="1" applyFont="1">
      <alignment horizontal="center"/>
    </xf>
    <xf borderId="36" fillId="4" fontId="4" numFmtId="0" xfId="0" applyAlignment="1" applyBorder="1" applyFont="1">
      <alignment horizontal="center"/>
    </xf>
    <xf borderId="37" fillId="4" fontId="4" numFmtId="0" xfId="0" applyAlignment="1" applyBorder="1" applyFont="1">
      <alignment horizontal="center"/>
    </xf>
    <xf borderId="39" fillId="0" fontId="7" numFmtId="0" xfId="0" applyBorder="1" applyFont="1"/>
    <xf borderId="36" fillId="0" fontId="6" numFmtId="0" xfId="0" applyBorder="1" applyFont="1"/>
    <xf borderId="37" fillId="0" fontId="6" numFmtId="0" xfId="0" applyBorder="1" applyFont="1"/>
    <xf borderId="40" fillId="3" fontId="6" numFmtId="0" xfId="0" applyAlignment="1" applyBorder="1" applyFont="1">
      <alignment horizontal="center" vertical="center"/>
    </xf>
    <xf borderId="40" fillId="2" fontId="6" numFmtId="0" xfId="0" applyAlignment="1" applyBorder="1" applyFont="1">
      <alignment horizontal="center" vertical="center"/>
    </xf>
    <xf borderId="41" fillId="3" fontId="6" numFmtId="9" xfId="0" applyAlignment="1" applyBorder="1" applyFont="1" applyNumberFormat="1">
      <alignment horizontal="center" vertical="center"/>
    </xf>
    <xf borderId="5" fillId="6" fontId="6" numFmtId="0" xfId="0" applyAlignment="1" applyBorder="1" applyFill="1" applyFont="1">
      <alignment horizontal="center"/>
    </xf>
    <xf borderId="4" fillId="6" fontId="6" numFmtId="0" xfId="0" applyAlignment="1" applyBorder="1" applyFont="1">
      <alignment horizontal="center"/>
    </xf>
    <xf borderId="42" fillId="6" fontId="6" numFmtId="0" xfId="0" applyAlignment="1" applyBorder="1" applyFont="1">
      <alignment horizontal="center"/>
    </xf>
    <xf borderId="43" fillId="6" fontId="6" numFmtId="0" xfId="0" applyAlignment="1" applyBorder="1" applyFont="1">
      <alignment horizontal="center"/>
    </xf>
    <xf borderId="44" fillId="6" fontId="6" numFmtId="0" xfId="0" applyAlignment="1" applyBorder="1" applyFont="1">
      <alignment horizontal="center"/>
    </xf>
    <xf borderId="45" fillId="6" fontId="6" numFmtId="0" xfId="0" applyAlignment="1" applyBorder="1" applyFont="1">
      <alignment horizontal="center"/>
    </xf>
    <xf borderId="2" fillId="6" fontId="6" numFmtId="0" xfId="0" applyAlignment="1" applyBorder="1" applyFont="1">
      <alignment horizontal="center"/>
    </xf>
    <xf borderId="2" fillId="6" fontId="6" numFmtId="9" xfId="0" applyAlignment="1" applyBorder="1" applyFont="1" applyNumberFormat="1">
      <alignment horizontal="center"/>
    </xf>
    <xf borderId="8" fillId="3" fontId="6" numFmtId="0" xfId="0" applyAlignment="1" applyBorder="1" applyFont="1">
      <alignment horizontal="center"/>
    </xf>
    <xf borderId="18" fillId="4" fontId="4" numFmtId="0" xfId="0" applyAlignment="1" applyBorder="1" applyFont="1">
      <alignment horizontal="center"/>
    </xf>
    <xf borderId="19" fillId="4" fontId="4" numFmtId="0" xfId="0" applyAlignment="1" applyBorder="1" applyFont="1">
      <alignment horizontal="center"/>
    </xf>
    <xf borderId="20" fillId="4" fontId="4" numFmtId="0" xfId="0" applyAlignment="1" applyBorder="1" applyFont="1">
      <alignment horizontal="center"/>
    </xf>
    <xf borderId="19" fillId="5" fontId="4" numFmtId="0" xfId="0" applyAlignment="1" applyBorder="1" applyFont="1">
      <alignment horizontal="center"/>
    </xf>
    <xf borderId="20" fillId="5" fontId="6" numFmtId="0" xfId="0" applyBorder="1" applyFont="1"/>
    <xf borderId="18" fillId="5" fontId="6" numFmtId="0" xfId="0" applyBorder="1" applyFont="1"/>
    <xf borderId="19" fillId="0" fontId="6" numFmtId="0" xfId="0" applyBorder="1" applyFont="1"/>
    <xf borderId="20" fillId="0" fontId="6" numFmtId="0" xfId="0" applyBorder="1" applyFont="1"/>
    <xf borderId="18" fillId="0" fontId="6" numFmtId="0" xfId="0" applyBorder="1" applyFont="1"/>
    <xf borderId="46" fillId="0" fontId="6" numFmtId="0" xfId="0" applyBorder="1" applyFont="1"/>
    <xf borderId="8" fillId="3" fontId="6" numFmtId="0" xfId="0" applyAlignment="1" applyBorder="1" applyFont="1">
      <alignment horizontal="center" vertical="center"/>
    </xf>
    <xf borderId="8" fillId="2" fontId="6" numFmtId="0" xfId="0" applyAlignment="1" applyBorder="1" applyFont="1">
      <alignment horizontal="center" vertical="center"/>
    </xf>
    <xf borderId="9" fillId="3" fontId="6" numFmtId="9" xfId="0" applyAlignment="1" applyBorder="1" applyFont="1" applyNumberFormat="1">
      <alignment horizontal="center" vertical="center"/>
    </xf>
    <xf borderId="23" fillId="3" fontId="6" numFmtId="0" xfId="0" applyAlignment="1" applyBorder="1" applyFont="1">
      <alignment horizontal="center"/>
    </xf>
    <xf borderId="26" fillId="0" fontId="6" numFmtId="0" xfId="0" applyBorder="1" applyFont="1"/>
    <xf borderId="29" fillId="0" fontId="6" numFmtId="0" xfId="0" applyBorder="1" applyFont="1"/>
    <xf borderId="23" fillId="3" fontId="6" numFmtId="0" xfId="0" applyAlignment="1" applyBorder="1" applyFont="1">
      <alignment horizontal="center" vertical="center"/>
    </xf>
    <xf borderId="23" fillId="2" fontId="6" numFmtId="0" xfId="0" applyAlignment="1" applyBorder="1" applyFont="1">
      <alignment horizontal="center" vertical="center"/>
    </xf>
    <xf borderId="24" fillId="3" fontId="6" numFmtId="9" xfId="0" applyAlignment="1" applyBorder="1" applyFont="1" applyNumberFormat="1">
      <alignment horizontal="center" vertical="center"/>
    </xf>
    <xf borderId="26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  <xf borderId="28" fillId="0" fontId="4" numFmtId="0" xfId="0" applyAlignment="1" applyBorder="1" applyFont="1">
      <alignment horizontal="center"/>
    </xf>
    <xf borderId="32" fillId="3" fontId="6" numFmtId="0" xfId="0" applyAlignment="1" applyBorder="1" applyFont="1">
      <alignment horizontal="center"/>
    </xf>
    <xf borderId="47" fillId="0" fontId="6" numFmtId="0" xfId="0" applyBorder="1" applyFont="1"/>
    <xf borderId="48" fillId="0" fontId="6" numFmtId="0" xfId="0" applyBorder="1" applyFont="1"/>
    <xf borderId="49" fillId="0" fontId="6" numFmtId="0" xfId="0" applyBorder="1" applyFont="1"/>
    <xf borderId="50" fillId="4" fontId="7" numFmtId="0" xfId="0" applyBorder="1" applyFont="1"/>
    <xf borderId="51" fillId="4" fontId="7" numFmtId="0" xfId="0" applyBorder="1" applyFont="1"/>
    <xf borderId="52" fillId="4" fontId="7" numFmtId="0" xfId="0" applyBorder="1" applyFont="1"/>
    <xf borderId="53" fillId="0" fontId="6" numFmtId="0" xfId="0" applyBorder="1" applyFont="1"/>
    <xf borderId="32" fillId="3" fontId="6" numFmtId="0" xfId="0" applyAlignment="1" applyBorder="1" applyFont="1">
      <alignment horizontal="center" vertical="center"/>
    </xf>
    <xf borderId="32" fillId="2" fontId="6" numFmtId="0" xfId="0" applyAlignment="1" applyBorder="1" applyFont="1">
      <alignment horizontal="center" vertical="center"/>
    </xf>
    <xf borderId="33" fillId="3" fontId="6" numFmtId="9" xfId="0" applyAlignment="1" applyBorder="1" applyFont="1" applyNumberFormat="1">
      <alignment horizontal="center" vertical="center"/>
    </xf>
    <xf borderId="1" fillId="6" fontId="6" numFmtId="0" xfId="0" applyAlignment="1" applyBorder="1" applyFont="1">
      <alignment horizontal="center"/>
    </xf>
    <xf borderId="54" fillId="6" fontId="6" numFmtId="0" xfId="0" applyAlignment="1" applyBorder="1" applyFont="1">
      <alignment horizontal="center"/>
    </xf>
    <xf borderId="55" fillId="6" fontId="6" numFmtId="0" xfId="0" applyAlignment="1" applyBorder="1" applyFont="1">
      <alignment horizontal="center"/>
    </xf>
    <xf borderId="56" fillId="6" fontId="6" numFmtId="0" xfId="0" applyAlignment="1" applyBorder="1" applyFont="1">
      <alignment horizontal="center"/>
    </xf>
    <xf borderId="1" fillId="6" fontId="6" numFmtId="0" xfId="0" applyAlignment="1" applyBorder="1" applyFont="1">
      <alignment horizontal="center" vertical="center"/>
    </xf>
    <xf borderId="4" fillId="6" fontId="6" numFmtId="9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43</xdr:col>
      <xdr:colOff>0</xdr:colOff>
      <xdr:row>5</xdr:row>
      <xdr:rowOff>0</xdr:rowOff>
    </xdr:from>
    <xdr:ext cx="200025" cy="3209925"/>
    <xdr:sp>
      <xdr:nvSpPr>
        <xdr:cNvPr id="3" name="Shape 3"/>
        <xdr:cNvSpPr txBox="1"/>
      </xdr:nvSpPr>
      <xdr:spPr>
        <a:xfrm>
          <a:off x="5250750" y="2175038"/>
          <a:ext cx="190500" cy="3209925"/>
        </a:xfrm>
        <a:prstGeom prst="rect">
          <a:avLst/>
        </a:prstGeom>
        <a:solidFill>
          <a:srgbClr val="E5DFEB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5</xdr:row>
      <xdr:rowOff>0</xdr:rowOff>
    </xdr:from>
    <xdr:ext cx="200025" cy="3209925"/>
    <xdr:sp>
      <xdr:nvSpPr>
        <xdr:cNvPr id="4" name="Shape 4"/>
        <xdr:cNvSpPr txBox="1"/>
      </xdr:nvSpPr>
      <xdr:spPr>
        <a:xfrm>
          <a:off x="5245988" y="2175038"/>
          <a:ext cx="200025" cy="3209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Examen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Du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1 ère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Semestre</a:t>
          </a:r>
          <a:endParaRPr b="1" sz="800">
            <a:solidFill>
              <a:srgbClr val="C00000"/>
            </a:solidFill>
          </a:endParaRPr>
        </a:p>
      </xdr:txBody>
    </xdr:sp>
    <xdr:clientData fLocksWithSheet="0"/>
  </xdr:oneCellAnchor>
  <xdr:oneCellAnchor>
    <xdr:from>
      <xdr:col>42</xdr:col>
      <xdr:colOff>0</xdr:colOff>
      <xdr:row>5</xdr:row>
      <xdr:rowOff>0</xdr:rowOff>
    </xdr:from>
    <xdr:ext cx="200025" cy="3209925"/>
    <xdr:sp>
      <xdr:nvSpPr>
        <xdr:cNvPr id="5" name="Shape 5"/>
        <xdr:cNvSpPr txBox="1"/>
      </xdr:nvSpPr>
      <xdr:spPr>
        <a:xfrm>
          <a:off x="5245988" y="2175038"/>
          <a:ext cx="200025" cy="32099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Examen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Du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2 éme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8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Semestre</a:t>
          </a:r>
          <a:endParaRPr b="1" sz="800">
            <a:solidFill>
              <a:srgbClr val="C00000"/>
            </a:solidFill>
          </a:endParaRPr>
        </a:p>
      </xdr:txBody>
    </xdr:sp>
    <xdr:clientData fLocksWithSheet="0"/>
  </xdr:oneCellAnchor>
  <xdr:oneCellAnchor>
    <xdr:from>
      <xdr:col>23</xdr:col>
      <xdr:colOff>0</xdr:colOff>
      <xdr:row>23</xdr:row>
      <xdr:rowOff>0</xdr:rowOff>
    </xdr:from>
    <xdr:ext cx="209550" cy="2390775"/>
    <xdr:sp>
      <xdr:nvSpPr>
        <xdr:cNvPr id="6" name="Shape 6"/>
        <xdr:cNvSpPr txBox="1"/>
      </xdr:nvSpPr>
      <xdr:spPr>
        <a:xfrm>
          <a:off x="5241225" y="2584613"/>
          <a:ext cx="209550" cy="23907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6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Examen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6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6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Du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6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6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1 ère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6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6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Semestre</a:t>
          </a:r>
          <a:endParaRPr b="1" sz="600">
            <a:solidFill>
              <a:srgbClr val="C00000"/>
            </a:solidFill>
          </a:endParaRPr>
        </a:p>
      </xdr:txBody>
    </xdr:sp>
    <xdr:clientData fLocksWithSheet="0"/>
  </xdr:oneCellAnchor>
  <xdr:oneCellAnchor>
    <xdr:from>
      <xdr:col>42</xdr:col>
      <xdr:colOff>0</xdr:colOff>
      <xdr:row>23</xdr:row>
      <xdr:rowOff>0</xdr:rowOff>
    </xdr:from>
    <xdr:ext cx="200025" cy="2390775"/>
    <xdr:sp>
      <xdr:nvSpPr>
        <xdr:cNvPr id="7" name="Shape 7"/>
        <xdr:cNvSpPr txBox="1"/>
      </xdr:nvSpPr>
      <xdr:spPr>
        <a:xfrm>
          <a:off x="5245988" y="2584613"/>
          <a:ext cx="200025" cy="239077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6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Examen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6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5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Du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6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6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2éme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600">
            <a:solidFill>
              <a:srgbClr val="C00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6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Semestre</a:t>
          </a:r>
          <a:endParaRPr b="1" sz="600">
            <a:solidFill>
              <a:srgbClr val="C00000"/>
            </a:solidFill>
          </a:endParaRPr>
        </a:p>
      </xdr:txBody>
    </xdr:sp>
    <xdr:clientData fLocksWithSheet="0"/>
  </xdr:oneCellAnchor>
  <xdr:oneCellAnchor>
    <xdr:from>
      <xdr:col>43</xdr:col>
      <xdr:colOff>0</xdr:colOff>
      <xdr:row>23</xdr:row>
      <xdr:rowOff>0</xdr:rowOff>
    </xdr:from>
    <xdr:ext cx="200025" cy="2390775"/>
    <xdr:sp>
      <xdr:nvSpPr>
        <xdr:cNvPr id="8" name="Shape 8"/>
        <xdr:cNvSpPr txBox="1"/>
      </xdr:nvSpPr>
      <xdr:spPr>
        <a:xfrm>
          <a:off x="5250750" y="2584613"/>
          <a:ext cx="190500" cy="2390775"/>
        </a:xfrm>
        <a:prstGeom prst="rect">
          <a:avLst/>
        </a:prstGeom>
        <a:solidFill>
          <a:srgbClr val="E5DFEB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A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7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7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F</a:t>
          </a:r>
          <a:endParaRPr b="1" sz="800"/>
        </a:p>
      </xdr:txBody>
    </xdr:sp>
    <xdr:clientData fLocksWithSheet="0"/>
  </xdr:oneCellAnchor>
  <xdr:oneCellAnchor>
    <xdr:from>
      <xdr:col>12</xdr:col>
      <xdr:colOff>0</xdr:colOff>
      <xdr:row>5</xdr:row>
      <xdr:rowOff>0</xdr:rowOff>
    </xdr:from>
    <xdr:ext cx="209550" cy="3209925"/>
    <xdr:sp>
      <xdr:nvSpPr>
        <xdr:cNvPr id="9" name="Shape 9"/>
        <xdr:cNvSpPr txBox="1"/>
      </xdr:nvSpPr>
      <xdr:spPr>
        <a:xfrm>
          <a:off x="5245988" y="2175038"/>
          <a:ext cx="200025" cy="3209925"/>
        </a:xfrm>
        <a:prstGeom prst="rect">
          <a:avLst/>
        </a:prstGeom>
        <a:solidFill>
          <a:srgbClr val="EAF1D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Vacance</a:t>
          </a:r>
          <a:r>
            <a:rPr b="1" lang="en-US" sz="12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</xdr:txBody>
    </xdr:sp>
    <xdr:clientData fLocksWithSheet="0"/>
  </xdr:oneCellAnchor>
  <xdr:oneCellAnchor>
    <xdr:from>
      <xdr:col>18</xdr:col>
      <xdr:colOff>0</xdr:colOff>
      <xdr:row>5</xdr:row>
      <xdr:rowOff>0</xdr:rowOff>
    </xdr:from>
    <xdr:ext cx="209550" cy="3209925"/>
    <xdr:sp>
      <xdr:nvSpPr>
        <xdr:cNvPr id="10" name="Shape 10"/>
        <xdr:cNvSpPr txBox="1"/>
      </xdr:nvSpPr>
      <xdr:spPr>
        <a:xfrm>
          <a:off x="5245988" y="2175038"/>
          <a:ext cx="200025" cy="3209925"/>
        </a:xfrm>
        <a:prstGeom prst="rect">
          <a:avLst/>
        </a:prstGeom>
        <a:solidFill>
          <a:srgbClr val="EAF1D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Vacance</a:t>
          </a:r>
          <a:r>
            <a:rPr b="1" lang="en-US" sz="12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</xdr:txBody>
    </xdr:sp>
    <xdr:clientData fLocksWithSheet="0"/>
  </xdr:oneCellAnchor>
  <xdr:oneCellAnchor>
    <xdr:from>
      <xdr:col>25</xdr:col>
      <xdr:colOff>0</xdr:colOff>
      <xdr:row>5</xdr:row>
      <xdr:rowOff>0</xdr:rowOff>
    </xdr:from>
    <xdr:ext cx="209550" cy="3209925"/>
    <xdr:sp>
      <xdr:nvSpPr>
        <xdr:cNvPr id="11" name="Shape 11"/>
        <xdr:cNvSpPr txBox="1"/>
      </xdr:nvSpPr>
      <xdr:spPr>
        <a:xfrm>
          <a:off x="5245988" y="2175038"/>
          <a:ext cx="200025" cy="3209925"/>
        </a:xfrm>
        <a:prstGeom prst="rect">
          <a:avLst/>
        </a:prstGeom>
        <a:solidFill>
          <a:srgbClr val="EAF1D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Vacance</a:t>
          </a:r>
          <a:r>
            <a:rPr b="1" lang="en-US" sz="12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</xdr:txBody>
    </xdr:sp>
    <xdr:clientData fLocksWithSheet="0"/>
  </xdr:oneCellAnchor>
  <xdr:oneCellAnchor>
    <xdr:from>
      <xdr:col>31</xdr:col>
      <xdr:colOff>0</xdr:colOff>
      <xdr:row>5</xdr:row>
      <xdr:rowOff>0</xdr:rowOff>
    </xdr:from>
    <xdr:ext cx="200025" cy="3209925"/>
    <xdr:sp>
      <xdr:nvSpPr>
        <xdr:cNvPr id="12" name="Shape 12"/>
        <xdr:cNvSpPr txBox="1"/>
      </xdr:nvSpPr>
      <xdr:spPr>
        <a:xfrm>
          <a:off x="5250750" y="2175038"/>
          <a:ext cx="190500" cy="3209925"/>
        </a:xfrm>
        <a:prstGeom prst="rect">
          <a:avLst/>
        </a:prstGeom>
        <a:solidFill>
          <a:srgbClr val="EAF1D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008000"/>
            </a:solidFill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Vacance</a:t>
          </a:r>
          <a:r>
            <a:rPr b="1" lang="en-US" sz="1200">
              <a:solidFill>
                <a:srgbClr val="C00000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800">
            <a:solidFill>
              <a:srgbClr val="C00000"/>
            </a:solidFill>
          </a:endParaRPr>
        </a:p>
      </xdr:txBody>
    </xdr:sp>
    <xdr:clientData fLocksWithSheet="0"/>
  </xdr:oneCellAnchor>
  <xdr:oneCellAnchor>
    <xdr:from>
      <xdr:col>11</xdr:col>
      <xdr:colOff>209550</xdr:colOff>
      <xdr:row>23</xdr:row>
      <xdr:rowOff>0</xdr:rowOff>
    </xdr:from>
    <xdr:ext cx="190500" cy="2371725"/>
    <xdr:sp>
      <xdr:nvSpPr>
        <xdr:cNvPr id="13" name="Shape 13"/>
        <xdr:cNvSpPr txBox="1"/>
      </xdr:nvSpPr>
      <xdr:spPr>
        <a:xfrm>
          <a:off x="5255513" y="2598900"/>
          <a:ext cx="180975" cy="2362200"/>
        </a:xfrm>
        <a:prstGeom prst="rect">
          <a:avLst/>
        </a:prstGeom>
        <a:solidFill>
          <a:srgbClr val="EAF1D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Vacance</a:t>
          </a:r>
          <a:endParaRPr sz="1400"/>
        </a:p>
      </xdr:txBody>
    </xdr:sp>
    <xdr:clientData fLocksWithSheet="0"/>
  </xdr:oneCellAnchor>
  <xdr:oneCellAnchor>
    <xdr:from>
      <xdr:col>18</xdr:col>
      <xdr:colOff>0</xdr:colOff>
      <xdr:row>23</xdr:row>
      <xdr:rowOff>0</xdr:rowOff>
    </xdr:from>
    <xdr:ext cx="209550" cy="2371725"/>
    <xdr:sp>
      <xdr:nvSpPr>
        <xdr:cNvPr id="14" name="Shape 14"/>
        <xdr:cNvSpPr txBox="1"/>
      </xdr:nvSpPr>
      <xdr:spPr>
        <a:xfrm>
          <a:off x="5245988" y="2598900"/>
          <a:ext cx="200025" cy="2362200"/>
        </a:xfrm>
        <a:prstGeom prst="rect">
          <a:avLst/>
        </a:prstGeom>
        <a:solidFill>
          <a:srgbClr val="EAF1D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Vacance</a:t>
          </a:r>
          <a:endParaRPr sz="1400"/>
        </a:p>
      </xdr:txBody>
    </xdr:sp>
    <xdr:clientData fLocksWithSheet="0"/>
  </xdr:oneCellAnchor>
  <xdr:oneCellAnchor>
    <xdr:from>
      <xdr:col>25</xdr:col>
      <xdr:colOff>0</xdr:colOff>
      <xdr:row>23</xdr:row>
      <xdr:rowOff>0</xdr:rowOff>
    </xdr:from>
    <xdr:ext cx="209550" cy="2371725"/>
    <xdr:sp>
      <xdr:nvSpPr>
        <xdr:cNvPr id="15" name="Shape 15"/>
        <xdr:cNvSpPr txBox="1"/>
      </xdr:nvSpPr>
      <xdr:spPr>
        <a:xfrm>
          <a:off x="5245988" y="2598900"/>
          <a:ext cx="200025" cy="2362200"/>
        </a:xfrm>
        <a:prstGeom prst="rect">
          <a:avLst/>
        </a:prstGeom>
        <a:solidFill>
          <a:srgbClr val="EAF1D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Vacance</a:t>
          </a:r>
          <a:endParaRPr sz="1400"/>
        </a:p>
      </xdr:txBody>
    </xdr:sp>
    <xdr:clientData fLocksWithSheet="0"/>
  </xdr:oneCellAnchor>
  <xdr:oneCellAnchor>
    <xdr:from>
      <xdr:col>31</xdr:col>
      <xdr:colOff>0</xdr:colOff>
      <xdr:row>23</xdr:row>
      <xdr:rowOff>0</xdr:rowOff>
    </xdr:from>
    <xdr:ext cx="209550" cy="2371725"/>
    <xdr:sp>
      <xdr:nvSpPr>
        <xdr:cNvPr id="16" name="Shape 16"/>
        <xdr:cNvSpPr txBox="1"/>
      </xdr:nvSpPr>
      <xdr:spPr>
        <a:xfrm>
          <a:off x="5245988" y="2598900"/>
          <a:ext cx="200025" cy="2362200"/>
        </a:xfrm>
        <a:prstGeom prst="rect">
          <a:avLst/>
        </a:prstGeom>
        <a:solidFill>
          <a:srgbClr val="EAF1DD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100">
            <a:solidFill>
              <a:srgbClr val="0C0C0C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rgbClr val="0C0C0C"/>
              </a:solidFill>
              <a:latin typeface="Calibri"/>
              <a:ea typeface="Calibri"/>
              <a:cs typeface="Calibri"/>
              <a:sym typeface="Calibri"/>
            </a:rPr>
            <a:t>Vacance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8.63"/>
    <col customWidth="1" min="2" max="2" width="17.75"/>
    <col customWidth="1" min="3" max="3" width="8.75"/>
    <col customWidth="1" min="4" max="4" width="4.38"/>
    <col customWidth="1" min="5" max="42" width="2.63"/>
    <col customWidth="1" min="43" max="48" width="1.75"/>
    <col customWidth="1" min="49" max="49" width="5.38"/>
    <col customWidth="1" min="50" max="50" width="6.38"/>
    <col customWidth="1" min="51" max="51" width="10.0"/>
  </cols>
  <sheetData>
    <row r="1">
      <c r="A1" s="1" t="s">
        <v>0</v>
      </c>
    </row>
    <row r="5" ht="31.5" customHeight="1">
      <c r="A5" s="2" t="s">
        <v>1</v>
      </c>
      <c r="B5" s="3" t="s">
        <v>2</v>
      </c>
      <c r="C5" s="4" t="s">
        <v>3</v>
      </c>
      <c r="D5" s="5" t="s">
        <v>4</v>
      </c>
      <c r="E5" s="6" t="s">
        <v>5</v>
      </c>
      <c r="F5" s="7"/>
      <c r="G5" s="7"/>
      <c r="H5" s="8"/>
      <c r="I5" s="6" t="s">
        <v>6</v>
      </c>
      <c r="J5" s="7"/>
      <c r="K5" s="7"/>
      <c r="L5" s="8"/>
      <c r="M5" s="6" t="s">
        <v>7</v>
      </c>
      <c r="N5" s="7"/>
      <c r="O5" s="7"/>
      <c r="P5" s="8"/>
      <c r="Q5" s="6" t="s">
        <v>8</v>
      </c>
      <c r="R5" s="7"/>
      <c r="S5" s="7"/>
      <c r="T5" s="8"/>
      <c r="U5" s="6" t="s">
        <v>9</v>
      </c>
      <c r="V5" s="7"/>
      <c r="W5" s="7"/>
      <c r="X5" s="8"/>
      <c r="Y5" s="6" t="s">
        <v>10</v>
      </c>
      <c r="Z5" s="7"/>
      <c r="AA5" s="7"/>
      <c r="AB5" s="8"/>
      <c r="AC5" s="6" t="s">
        <v>11</v>
      </c>
      <c r="AD5" s="7"/>
      <c r="AE5" s="7"/>
      <c r="AF5" s="8"/>
      <c r="AG5" s="6" t="s">
        <v>12</v>
      </c>
      <c r="AH5" s="7"/>
      <c r="AI5" s="7"/>
      <c r="AJ5" s="8"/>
      <c r="AK5" s="6" t="s">
        <v>13</v>
      </c>
      <c r="AL5" s="7"/>
      <c r="AM5" s="7"/>
      <c r="AN5" s="8"/>
      <c r="AO5" s="6" t="s">
        <v>14</v>
      </c>
      <c r="AP5" s="7"/>
      <c r="AQ5" s="7"/>
      <c r="AR5" s="8"/>
      <c r="AS5" s="6" t="s">
        <v>15</v>
      </c>
      <c r="AT5" s="7"/>
      <c r="AU5" s="7"/>
      <c r="AV5" s="8"/>
      <c r="AW5" s="9" t="s">
        <v>16</v>
      </c>
      <c r="AX5" s="10" t="s">
        <v>17</v>
      </c>
      <c r="AY5" s="11" t="s">
        <v>18</v>
      </c>
    </row>
    <row r="6" ht="15.0" customHeight="1">
      <c r="A6" s="12" t="s">
        <v>19</v>
      </c>
      <c r="B6" s="13" t="str">
        <f t="shared" ref="B6:B22" si="1">VLOOKUP(C6,#REF!,2,FALSE)</f>
        <v>#REF!</v>
      </c>
      <c r="C6" s="14" t="s">
        <v>20</v>
      </c>
      <c r="D6" s="15">
        <v>30.0</v>
      </c>
      <c r="E6" s="16">
        <v>2.0</v>
      </c>
      <c r="F6" s="17">
        <v>2.0</v>
      </c>
      <c r="G6" s="17">
        <v>2.0</v>
      </c>
      <c r="H6" s="18">
        <v>2.0</v>
      </c>
      <c r="I6" s="16">
        <v>2.0</v>
      </c>
      <c r="J6" s="17">
        <v>2.0</v>
      </c>
      <c r="K6" s="17">
        <v>2.0</v>
      </c>
      <c r="L6" s="18">
        <v>2.0</v>
      </c>
      <c r="M6" s="16">
        <v>2.0</v>
      </c>
      <c r="N6" s="17">
        <v>2.0</v>
      </c>
      <c r="O6" s="17">
        <v>2.0</v>
      </c>
      <c r="P6" s="18">
        <v>2.0</v>
      </c>
      <c r="Q6" s="16">
        <v>2.0</v>
      </c>
      <c r="R6" s="17">
        <v>2.0</v>
      </c>
      <c r="S6" s="17">
        <v>2.0</v>
      </c>
      <c r="T6" s="19"/>
      <c r="U6" s="20"/>
      <c r="V6" s="21"/>
      <c r="W6" s="21"/>
      <c r="X6" s="19"/>
      <c r="Y6" s="20"/>
      <c r="Z6" s="21"/>
      <c r="AA6" s="21"/>
      <c r="AB6" s="19"/>
      <c r="AC6" s="20"/>
      <c r="AD6" s="21"/>
      <c r="AE6" s="21"/>
      <c r="AF6" s="19"/>
      <c r="AG6" s="20"/>
      <c r="AH6" s="21"/>
      <c r="AI6" s="21"/>
      <c r="AJ6" s="22"/>
      <c r="AK6" s="23"/>
      <c r="AL6" s="24"/>
      <c r="AM6" s="24"/>
      <c r="AN6" s="25"/>
      <c r="AO6" s="26"/>
      <c r="AP6" s="21"/>
      <c r="AQ6" s="21"/>
      <c r="AR6" s="19"/>
      <c r="AS6" s="20"/>
      <c r="AT6" s="21"/>
      <c r="AU6" s="27"/>
      <c r="AV6" s="28"/>
      <c r="AW6" s="29">
        <f t="shared" ref="AW6:AW22" si="2">SUM(E6:AR6)</f>
        <v>30</v>
      </c>
      <c r="AX6" s="30">
        <f t="shared" ref="AX6:AX36" si="3">(D6-AW6)</f>
        <v>0</v>
      </c>
      <c r="AY6" s="31">
        <f t="shared" ref="AY6:AY36" si="4">IF(AW6=0,"pas encore démaré",AW6/D6)</f>
        <v>1</v>
      </c>
    </row>
    <row r="7" ht="15.0" customHeight="1">
      <c r="A7" s="32" t="s">
        <v>21</v>
      </c>
      <c r="B7" s="33" t="str">
        <f t="shared" si="1"/>
        <v>#REF!</v>
      </c>
      <c r="C7" s="34" t="s">
        <v>22</v>
      </c>
      <c r="D7" s="35">
        <v>30.0</v>
      </c>
      <c r="E7" s="36">
        <v>2.0</v>
      </c>
      <c r="F7" s="37">
        <v>2.0</v>
      </c>
      <c r="G7" s="37">
        <v>2.0</v>
      </c>
      <c r="H7" s="38">
        <v>2.0</v>
      </c>
      <c r="I7" s="36">
        <v>2.0</v>
      </c>
      <c r="J7" s="37">
        <v>2.0</v>
      </c>
      <c r="K7" s="37">
        <v>2.0</v>
      </c>
      <c r="L7" s="38">
        <v>2.0</v>
      </c>
      <c r="M7" s="36">
        <v>2.0</v>
      </c>
      <c r="N7" s="37">
        <v>2.0</v>
      </c>
      <c r="O7" s="37">
        <v>2.0</v>
      </c>
      <c r="P7" s="38">
        <v>2.0</v>
      </c>
      <c r="Q7" s="36">
        <v>2.0</v>
      </c>
      <c r="R7" s="37">
        <v>2.0</v>
      </c>
      <c r="S7" s="37">
        <v>2.0</v>
      </c>
      <c r="T7" s="39"/>
      <c r="U7" s="40"/>
      <c r="V7" s="41"/>
      <c r="W7" s="41"/>
      <c r="X7" s="39"/>
      <c r="Y7" s="40"/>
      <c r="Z7" s="41"/>
      <c r="AA7" s="41"/>
      <c r="AB7" s="39"/>
      <c r="AC7" s="40"/>
      <c r="AD7" s="41"/>
      <c r="AE7" s="41"/>
      <c r="AF7" s="39"/>
      <c r="AG7" s="40"/>
      <c r="AH7" s="41"/>
      <c r="AI7" s="41"/>
      <c r="AJ7" s="42"/>
      <c r="AK7" s="40"/>
      <c r="AL7" s="41"/>
      <c r="AM7" s="41"/>
      <c r="AN7" s="39"/>
      <c r="AO7" s="43"/>
      <c r="AP7" s="41"/>
      <c r="AQ7" s="41"/>
      <c r="AR7" s="39"/>
      <c r="AS7" s="40"/>
      <c r="AT7" s="41"/>
      <c r="AU7" s="44"/>
      <c r="AV7" s="45"/>
      <c r="AW7" s="46">
        <f t="shared" si="2"/>
        <v>30</v>
      </c>
      <c r="AX7" s="47">
        <f t="shared" si="3"/>
        <v>0</v>
      </c>
      <c r="AY7" s="31">
        <f t="shared" si="4"/>
        <v>1</v>
      </c>
    </row>
    <row r="8" ht="15.0" customHeight="1">
      <c r="A8" s="32" t="s">
        <v>23</v>
      </c>
      <c r="B8" s="33" t="str">
        <f t="shared" si="1"/>
        <v>#REF!</v>
      </c>
      <c r="C8" s="34" t="s">
        <v>20</v>
      </c>
      <c r="D8" s="35">
        <v>60.0</v>
      </c>
      <c r="E8" s="40"/>
      <c r="F8" s="41"/>
      <c r="G8" s="41"/>
      <c r="H8" s="39"/>
      <c r="I8" s="40"/>
      <c r="J8" s="41"/>
      <c r="K8" s="41"/>
      <c r="L8" s="39"/>
      <c r="M8" s="40"/>
      <c r="N8" s="41"/>
      <c r="O8" s="41"/>
      <c r="P8" s="39"/>
      <c r="Q8" s="40"/>
      <c r="R8" s="41"/>
      <c r="S8" s="41"/>
      <c r="T8" s="38">
        <v>4.0</v>
      </c>
      <c r="U8" s="36">
        <v>4.0</v>
      </c>
      <c r="V8" s="37">
        <v>4.0</v>
      </c>
      <c r="W8" s="37">
        <v>4.0</v>
      </c>
      <c r="X8" s="38">
        <v>4.0</v>
      </c>
      <c r="Y8" s="36">
        <v>4.0</v>
      </c>
      <c r="Z8" s="37">
        <v>4.0</v>
      </c>
      <c r="AA8" s="37">
        <v>4.0</v>
      </c>
      <c r="AB8" s="38">
        <v>4.0</v>
      </c>
      <c r="AC8" s="36">
        <v>4.0</v>
      </c>
      <c r="AD8" s="37">
        <v>4.0</v>
      </c>
      <c r="AE8" s="37">
        <v>4.0</v>
      </c>
      <c r="AF8" s="38">
        <v>4.0</v>
      </c>
      <c r="AG8" s="36">
        <v>4.0</v>
      </c>
      <c r="AH8" s="37">
        <v>4.0</v>
      </c>
      <c r="AI8" s="48"/>
      <c r="AJ8" s="49"/>
      <c r="AK8" s="40"/>
      <c r="AL8" s="41"/>
      <c r="AM8" s="41"/>
      <c r="AN8" s="39"/>
      <c r="AO8" s="43"/>
      <c r="AP8" s="41"/>
      <c r="AQ8" s="41"/>
      <c r="AR8" s="39"/>
      <c r="AS8" s="40"/>
      <c r="AT8" s="41"/>
      <c r="AU8" s="44"/>
      <c r="AV8" s="45"/>
      <c r="AW8" s="46">
        <f t="shared" si="2"/>
        <v>60</v>
      </c>
      <c r="AX8" s="47">
        <f t="shared" si="3"/>
        <v>0</v>
      </c>
      <c r="AY8" s="31">
        <f t="shared" si="4"/>
        <v>1</v>
      </c>
    </row>
    <row r="9" ht="15.0" customHeight="1">
      <c r="A9" s="32" t="s">
        <v>24</v>
      </c>
      <c r="B9" s="33" t="str">
        <f t="shared" si="1"/>
        <v>#REF!</v>
      </c>
      <c r="C9" s="34" t="s">
        <v>20</v>
      </c>
      <c r="D9" s="35">
        <v>30.0</v>
      </c>
      <c r="E9" s="40"/>
      <c r="F9" s="41"/>
      <c r="G9" s="41"/>
      <c r="H9" s="39"/>
      <c r="I9" s="40"/>
      <c r="J9" s="41"/>
      <c r="K9" s="41"/>
      <c r="L9" s="39"/>
      <c r="M9" s="40"/>
      <c r="N9" s="41"/>
      <c r="O9" s="41"/>
      <c r="P9" s="39"/>
      <c r="Q9" s="40"/>
      <c r="R9" s="41"/>
      <c r="S9" s="41"/>
      <c r="T9" s="38">
        <v>2.0</v>
      </c>
      <c r="U9" s="36">
        <v>2.0</v>
      </c>
      <c r="V9" s="37">
        <v>2.0</v>
      </c>
      <c r="W9" s="37">
        <v>2.0</v>
      </c>
      <c r="X9" s="38">
        <v>2.0</v>
      </c>
      <c r="Y9" s="36">
        <v>2.0</v>
      </c>
      <c r="Z9" s="37">
        <v>2.0</v>
      </c>
      <c r="AA9" s="37">
        <v>2.0</v>
      </c>
      <c r="AB9" s="38">
        <v>2.0</v>
      </c>
      <c r="AC9" s="36">
        <v>2.0</v>
      </c>
      <c r="AD9" s="37">
        <v>2.0</v>
      </c>
      <c r="AE9" s="37">
        <v>2.0</v>
      </c>
      <c r="AF9" s="38">
        <v>2.0</v>
      </c>
      <c r="AG9" s="36">
        <v>2.0</v>
      </c>
      <c r="AH9" s="37">
        <v>2.0</v>
      </c>
      <c r="AI9" s="41"/>
      <c r="AJ9" s="42"/>
      <c r="AK9" s="40"/>
      <c r="AL9" s="41"/>
      <c r="AM9" s="41"/>
      <c r="AN9" s="39"/>
      <c r="AO9" s="43"/>
      <c r="AP9" s="41"/>
      <c r="AQ9" s="41"/>
      <c r="AR9" s="39"/>
      <c r="AS9" s="40"/>
      <c r="AT9" s="41"/>
      <c r="AU9" s="44"/>
      <c r="AV9" s="45"/>
      <c r="AW9" s="46">
        <f t="shared" si="2"/>
        <v>30</v>
      </c>
      <c r="AX9" s="47">
        <f t="shared" si="3"/>
        <v>0</v>
      </c>
      <c r="AY9" s="31">
        <f t="shared" si="4"/>
        <v>1</v>
      </c>
    </row>
    <row r="10" ht="15.0" customHeight="1">
      <c r="A10" s="32" t="s">
        <v>25</v>
      </c>
      <c r="B10" s="33" t="str">
        <f t="shared" si="1"/>
        <v>#REF!</v>
      </c>
      <c r="C10" s="34" t="s">
        <v>20</v>
      </c>
      <c r="D10" s="35">
        <v>30.0</v>
      </c>
      <c r="E10" s="40"/>
      <c r="F10" s="41"/>
      <c r="G10" s="41"/>
      <c r="H10" s="39"/>
      <c r="I10" s="40"/>
      <c r="J10" s="41"/>
      <c r="K10" s="41"/>
      <c r="L10" s="39"/>
      <c r="M10" s="40"/>
      <c r="N10" s="41"/>
      <c r="O10" s="41"/>
      <c r="P10" s="39"/>
      <c r="Q10" s="40"/>
      <c r="R10" s="41"/>
      <c r="S10" s="41"/>
      <c r="T10" s="38">
        <v>2.0</v>
      </c>
      <c r="U10" s="36">
        <v>2.0</v>
      </c>
      <c r="V10" s="37">
        <v>2.0</v>
      </c>
      <c r="W10" s="37">
        <v>2.0</v>
      </c>
      <c r="X10" s="38">
        <v>2.0</v>
      </c>
      <c r="Y10" s="36">
        <v>2.0</v>
      </c>
      <c r="Z10" s="37">
        <v>2.0</v>
      </c>
      <c r="AA10" s="37">
        <v>2.0</v>
      </c>
      <c r="AB10" s="38">
        <v>2.0</v>
      </c>
      <c r="AC10" s="36">
        <v>2.0</v>
      </c>
      <c r="AD10" s="37">
        <v>2.0</v>
      </c>
      <c r="AE10" s="37">
        <v>2.0</v>
      </c>
      <c r="AF10" s="38">
        <v>2.0</v>
      </c>
      <c r="AG10" s="36">
        <v>2.0</v>
      </c>
      <c r="AH10" s="37">
        <v>2.0</v>
      </c>
      <c r="AI10" s="48"/>
      <c r="AJ10" s="49"/>
      <c r="AK10" s="40"/>
      <c r="AL10" s="41"/>
      <c r="AM10" s="41"/>
      <c r="AN10" s="39"/>
      <c r="AO10" s="43"/>
      <c r="AP10" s="41"/>
      <c r="AQ10" s="41"/>
      <c r="AR10" s="39"/>
      <c r="AS10" s="40"/>
      <c r="AT10" s="41"/>
      <c r="AU10" s="44"/>
      <c r="AV10" s="45"/>
      <c r="AW10" s="46">
        <f t="shared" si="2"/>
        <v>30</v>
      </c>
      <c r="AX10" s="47">
        <f t="shared" si="3"/>
        <v>0</v>
      </c>
      <c r="AY10" s="31">
        <f t="shared" si="4"/>
        <v>1</v>
      </c>
    </row>
    <row r="11" ht="15.0" customHeight="1">
      <c r="A11" s="32" t="s">
        <v>26</v>
      </c>
      <c r="B11" s="33" t="str">
        <f t="shared" si="1"/>
        <v>#REF!</v>
      </c>
      <c r="C11" s="34" t="s">
        <v>27</v>
      </c>
      <c r="D11" s="35">
        <v>60.0</v>
      </c>
      <c r="E11" s="40"/>
      <c r="F11" s="41"/>
      <c r="G11" s="41"/>
      <c r="H11" s="39"/>
      <c r="I11" s="40"/>
      <c r="J11" s="41"/>
      <c r="K11" s="41"/>
      <c r="L11" s="39"/>
      <c r="M11" s="40"/>
      <c r="N11" s="41"/>
      <c r="O11" s="41"/>
      <c r="P11" s="39"/>
      <c r="Q11" s="40"/>
      <c r="R11" s="41"/>
      <c r="S11" s="41"/>
      <c r="T11" s="38">
        <v>4.0</v>
      </c>
      <c r="U11" s="36">
        <v>4.0</v>
      </c>
      <c r="V11" s="37">
        <v>4.0</v>
      </c>
      <c r="W11" s="37">
        <v>4.0</v>
      </c>
      <c r="X11" s="38">
        <v>4.0</v>
      </c>
      <c r="Y11" s="36">
        <v>4.0</v>
      </c>
      <c r="Z11" s="37">
        <v>4.0</v>
      </c>
      <c r="AA11" s="37">
        <v>4.0</v>
      </c>
      <c r="AB11" s="38">
        <v>4.0</v>
      </c>
      <c r="AC11" s="36">
        <v>4.0</v>
      </c>
      <c r="AD11" s="37">
        <v>4.0</v>
      </c>
      <c r="AE11" s="37">
        <v>4.0</v>
      </c>
      <c r="AF11" s="38">
        <v>4.0</v>
      </c>
      <c r="AG11" s="36">
        <v>4.0</v>
      </c>
      <c r="AH11" s="37">
        <v>4.0</v>
      </c>
      <c r="AI11" s="48"/>
      <c r="AJ11" s="49"/>
      <c r="AK11" s="40"/>
      <c r="AL11" s="41"/>
      <c r="AM11" s="41"/>
      <c r="AN11" s="39"/>
      <c r="AO11" s="43"/>
      <c r="AP11" s="41"/>
      <c r="AQ11" s="41"/>
      <c r="AR11" s="39"/>
      <c r="AS11" s="40"/>
      <c r="AT11" s="41"/>
      <c r="AU11" s="44"/>
      <c r="AV11" s="45"/>
      <c r="AW11" s="46">
        <f t="shared" si="2"/>
        <v>60</v>
      </c>
      <c r="AX11" s="47">
        <f t="shared" si="3"/>
        <v>0</v>
      </c>
      <c r="AY11" s="31">
        <f t="shared" si="4"/>
        <v>1</v>
      </c>
    </row>
    <row r="12" ht="15.0" customHeight="1">
      <c r="A12" s="32" t="s">
        <v>28</v>
      </c>
      <c r="B12" s="33" t="str">
        <f t="shared" si="1"/>
        <v>#REF!</v>
      </c>
      <c r="C12" s="34" t="s">
        <v>27</v>
      </c>
      <c r="D12" s="35">
        <v>75.0</v>
      </c>
      <c r="E12" s="36">
        <v>4.0</v>
      </c>
      <c r="F12" s="37">
        <v>4.0</v>
      </c>
      <c r="G12" s="37">
        <v>4.0</v>
      </c>
      <c r="H12" s="38">
        <v>4.0</v>
      </c>
      <c r="I12" s="36">
        <v>4.0</v>
      </c>
      <c r="J12" s="37">
        <v>4.0</v>
      </c>
      <c r="K12" s="37">
        <v>4.0</v>
      </c>
      <c r="L12" s="38">
        <v>4.0</v>
      </c>
      <c r="M12" s="36">
        <v>4.0</v>
      </c>
      <c r="N12" s="37">
        <v>4.0</v>
      </c>
      <c r="O12" s="37">
        <v>4.0</v>
      </c>
      <c r="P12" s="38">
        <v>4.0</v>
      </c>
      <c r="Q12" s="36">
        <v>8.0</v>
      </c>
      <c r="R12" s="37">
        <v>8.0</v>
      </c>
      <c r="S12" s="37">
        <v>8.0</v>
      </c>
      <c r="T12" s="38">
        <v>3.0</v>
      </c>
      <c r="U12" s="50"/>
      <c r="V12" s="48"/>
      <c r="W12" s="48"/>
      <c r="X12" s="51"/>
      <c r="Y12" s="40"/>
      <c r="Z12" s="41"/>
      <c r="AA12" s="41"/>
      <c r="AB12" s="39"/>
      <c r="AC12" s="40"/>
      <c r="AD12" s="41"/>
      <c r="AE12" s="41"/>
      <c r="AF12" s="39"/>
      <c r="AG12" s="40"/>
      <c r="AH12" s="41"/>
      <c r="AI12" s="52"/>
      <c r="AJ12" s="53"/>
      <c r="AK12" s="40"/>
      <c r="AL12" s="41"/>
      <c r="AM12" s="41"/>
      <c r="AN12" s="39"/>
      <c r="AO12" s="43"/>
      <c r="AP12" s="41"/>
      <c r="AQ12" s="41"/>
      <c r="AR12" s="39"/>
      <c r="AS12" s="40"/>
      <c r="AT12" s="41"/>
      <c r="AU12" s="44"/>
      <c r="AV12" s="45"/>
      <c r="AW12" s="46">
        <f t="shared" si="2"/>
        <v>75</v>
      </c>
      <c r="AX12" s="47">
        <f t="shared" si="3"/>
        <v>0</v>
      </c>
      <c r="AY12" s="31">
        <f t="shared" si="4"/>
        <v>1</v>
      </c>
    </row>
    <row r="13" ht="15.0" customHeight="1">
      <c r="A13" s="32" t="s">
        <v>29</v>
      </c>
      <c r="B13" s="33" t="str">
        <f t="shared" si="1"/>
        <v>#REF!</v>
      </c>
      <c r="C13" s="34" t="s">
        <v>30</v>
      </c>
      <c r="D13" s="35">
        <v>120.0</v>
      </c>
      <c r="E13" s="36">
        <v>4.0</v>
      </c>
      <c r="F13" s="37">
        <v>4.0</v>
      </c>
      <c r="G13" s="37">
        <v>4.0</v>
      </c>
      <c r="H13" s="38">
        <v>4.0</v>
      </c>
      <c r="I13" s="36">
        <v>4.0</v>
      </c>
      <c r="J13" s="37">
        <v>4.0</v>
      </c>
      <c r="K13" s="37">
        <v>4.0</v>
      </c>
      <c r="L13" s="38">
        <v>4.0</v>
      </c>
      <c r="M13" s="36">
        <v>4.0</v>
      </c>
      <c r="N13" s="37">
        <v>4.0</v>
      </c>
      <c r="O13" s="37">
        <v>4.0</v>
      </c>
      <c r="P13" s="38">
        <v>4.0</v>
      </c>
      <c r="Q13" s="36">
        <v>4.0</v>
      </c>
      <c r="R13" s="37">
        <v>4.0</v>
      </c>
      <c r="S13" s="37">
        <v>4.0</v>
      </c>
      <c r="T13" s="38">
        <v>4.0</v>
      </c>
      <c r="U13" s="36">
        <v>4.0</v>
      </c>
      <c r="V13" s="37">
        <v>4.0</v>
      </c>
      <c r="W13" s="37">
        <v>4.0</v>
      </c>
      <c r="X13" s="38">
        <v>4.0</v>
      </c>
      <c r="Y13" s="36">
        <v>4.0</v>
      </c>
      <c r="Z13" s="37">
        <v>4.0</v>
      </c>
      <c r="AA13" s="37">
        <v>4.0</v>
      </c>
      <c r="AB13" s="38">
        <v>4.0</v>
      </c>
      <c r="AC13" s="36">
        <v>4.0</v>
      </c>
      <c r="AD13" s="37">
        <v>4.0</v>
      </c>
      <c r="AE13" s="37">
        <v>4.0</v>
      </c>
      <c r="AF13" s="38">
        <v>4.0</v>
      </c>
      <c r="AG13" s="36">
        <v>4.0</v>
      </c>
      <c r="AH13" s="37">
        <v>4.0</v>
      </c>
      <c r="AI13" s="52"/>
      <c r="AJ13" s="53"/>
      <c r="AK13" s="40"/>
      <c r="AL13" s="41"/>
      <c r="AM13" s="41"/>
      <c r="AN13" s="39"/>
      <c r="AO13" s="43"/>
      <c r="AP13" s="41"/>
      <c r="AQ13" s="41"/>
      <c r="AR13" s="39"/>
      <c r="AS13" s="40"/>
      <c r="AT13" s="41"/>
      <c r="AU13" s="44"/>
      <c r="AV13" s="45"/>
      <c r="AW13" s="46">
        <f t="shared" si="2"/>
        <v>120</v>
      </c>
      <c r="AX13" s="47">
        <f t="shared" si="3"/>
        <v>0</v>
      </c>
      <c r="AY13" s="31">
        <f t="shared" si="4"/>
        <v>1</v>
      </c>
    </row>
    <row r="14" ht="15.0" customHeight="1">
      <c r="A14" s="32" t="s">
        <v>31</v>
      </c>
      <c r="B14" s="33" t="str">
        <f t="shared" si="1"/>
        <v>#REF!</v>
      </c>
      <c r="C14" s="34" t="s">
        <v>20</v>
      </c>
      <c r="D14" s="35">
        <v>90.0</v>
      </c>
      <c r="E14" s="40"/>
      <c r="F14" s="41"/>
      <c r="G14" s="41"/>
      <c r="H14" s="39"/>
      <c r="I14" s="40"/>
      <c r="J14" s="41"/>
      <c r="K14" s="41"/>
      <c r="L14" s="39"/>
      <c r="M14" s="40"/>
      <c r="N14" s="41"/>
      <c r="O14" s="41"/>
      <c r="P14" s="39"/>
      <c r="Q14" s="40"/>
      <c r="R14" s="41"/>
      <c r="S14" s="41"/>
      <c r="T14" s="38">
        <v>4.0</v>
      </c>
      <c r="U14" s="36">
        <v>4.0</v>
      </c>
      <c r="V14" s="37">
        <v>4.0</v>
      </c>
      <c r="W14" s="37">
        <v>4.0</v>
      </c>
      <c r="X14" s="38">
        <v>4.0</v>
      </c>
      <c r="Y14" s="36">
        <v>4.0</v>
      </c>
      <c r="Z14" s="37">
        <v>4.0</v>
      </c>
      <c r="AA14" s="37">
        <v>8.0</v>
      </c>
      <c r="AB14" s="38">
        <v>8.0</v>
      </c>
      <c r="AC14" s="36">
        <v>8.0</v>
      </c>
      <c r="AD14" s="37">
        <v>8.0</v>
      </c>
      <c r="AE14" s="37">
        <v>8.0</v>
      </c>
      <c r="AF14" s="38">
        <v>8.0</v>
      </c>
      <c r="AG14" s="36">
        <v>8.0</v>
      </c>
      <c r="AH14" s="37">
        <v>6.0</v>
      </c>
      <c r="AI14" s="48"/>
      <c r="AJ14" s="49"/>
      <c r="AK14" s="40"/>
      <c r="AL14" s="41"/>
      <c r="AM14" s="41"/>
      <c r="AN14" s="39"/>
      <c r="AO14" s="43"/>
      <c r="AP14" s="41"/>
      <c r="AQ14" s="41"/>
      <c r="AR14" s="39"/>
      <c r="AS14" s="40"/>
      <c r="AT14" s="41"/>
      <c r="AU14" s="44"/>
      <c r="AV14" s="45"/>
      <c r="AW14" s="46">
        <f t="shared" si="2"/>
        <v>90</v>
      </c>
      <c r="AX14" s="47">
        <f t="shared" si="3"/>
        <v>0</v>
      </c>
      <c r="AY14" s="31">
        <f t="shared" si="4"/>
        <v>1</v>
      </c>
    </row>
    <row r="15" ht="15.0" customHeight="1">
      <c r="A15" s="32" t="s">
        <v>32</v>
      </c>
      <c r="B15" s="33" t="str">
        <f t="shared" si="1"/>
        <v>#REF!</v>
      </c>
      <c r="C15" s="34" t="s">
        <v>20</v>
      </c>
      <c r="D15" s="35">
        <v>90.0</v>
      </c>
      <c r="E15" s="36">
        <v>4.0</v>
      </c>
      <c r="F15" s="37">
        <v>4.0</v>
      </c>
      <c r="G15" s="37">
        <v>4.0</v>
      </c>
      <c r="H15" s="38">
        <v>4.0</v>
      </c>
      <c r="I15" s="36">
        <v>4.0</v>
      </c>
      <c r="J15" s="37">
        <v>4.0</v>
      </c>
      <c r="K15" s="37">
        <v>4.0</v>
      </c>
      <c r="L15" s="38">
        <v>4.0</v>
      </c>
      <c r="M15" s="36">
        <v>4.0</v>
      </c>
      <c r="N15" s="37">
        <v>8.0</v>
      </c>
      <c r="O15" s="37">
        <v>8.0</v>
      </c>
      <c r="P15" s="38">
        <v>8.0</v>
      </c>
      <c r="Q15" s="36">
        <v>8.0</v>
      </c>
      <c r="R15" s="37">
        <v>8.0</v>
      </c>
      <c r="S15" s="37">
        <v>8.0</v>
      </c>
      <c r="T15" s="38">
        <v>6.0</v>
      </c>
      <c r="U15" s="50"/>
      <c r="V15" s="48"/>
      <c r="W15" s="48"/>
      <c r="X15" s="51"/>
      <c r="Y15" s="40"/>
      <c r="Z15" s="41"/>
      <c r="AA15" s="41"/>
      <c r="AB15" s="39"/>
      <c r="AC15" s="40"/>
      <c r="AD15" s="41"/>
      <c r="AE15" s="41"/>
      <c r="AF15" s="39"/>
      <c r="AG15" s="40"/>
      <c r="AH15" s="41"/>
      <c r="AI15" s="52"/>
      <c r="AJ15" s="53"/>
      <c r="AK15" s="40"/>
      <c r="AL15" s="41"/>
      <c r="AM15" s="41"/>
      <c r="AN15" s="39"/>
      <c r="AO15" s="43"/>
      <c r="AP15" s="41"/>
      <c r="AQ15" s="41"/>
      <c r="AR15" s="39"/>
      <c r="AS15" s="40"/>
      <c r="AT15" s="41"/>
      <c r="AU15" s="44"/>
      <c r="AV15" s="45"/>
      <c r="AW15" s="46">
        <f t="shared" si="2"/>
        <v>90</v>
      </c>
      <c r="AX15" s="47">
        <f t="shared" si="3"/>
        <v>0</v>
      </c>
      <c r="AY15" s="31">
        <f t="shared" si="4"/>
        <v>1</v>
      </c>
    </row>
    <row r="16" ht="15.0" customHeight="1">
      <c r="A16" s="32" t="s">
        <v>33</v>
      </c>
      <c r="B16" s="33" t="str">
        <f t="shared" si="1"/>
        <v>#REF!</v>
      </c>
      <c r="C16" s="34" t="s">
        <v>20</v>
      </c>
      <c r="D16" s="35">
        <v>90.0</v>
      </c>
      <c r="E16" s="36">
        <v>8.0</v>
      </c>
      <c r="F16" s="37">
        <v>8.0</v>
      </c>
      <c r="G16" s="37">
        <v>8.0</v>
      </c>
      <c r="H16" s="38">
        <v>8.0</v>
      </c>
      <c r="I16" s="36">
        <v>8.0</v>
      </c>
      <c r="J16" s="37">
        <v>8.0</v>
      </c>
      <c r="K16" s="37">
        <v>4.0</v>
      </c>
      <c r="L16" s="38">
        <v>4.0</v>
      </c>
      <c r="M16" s="36">
        <v>4.0</v>
      </c>
      <c r="N16" s="37">
        <v>4.0</v>
      </c>
      <c r="O16" s="37">
        <v>4.0</v>
      </c>
      <c r="P16" s="38">
        <v>4.0</v>
      </c>
      <c r="Q16" s="36">
        <v>4.0</v>
      </c>
      <c r="R16" s="37">
        <v>4.0</v>
      </c>
      <c r="S16" s="37">
        <v>6.0</v>
      </c>
      <c r="T16" s="38">
        <v>4.0</v>
      </c>
      <c r="U16" s="50"/>
      <c r="V16" s="48"/>
      <c r="W16" s="48"/>
      <c r="X16" s="51"/>
      <c r="Y16" s="54"/>
      <c r="Z16" s="41"/>
      <c r="AA16" s="41"/>
      <c r="AB16" s="39"/>
      <c r="AC16" s="40"/>
      <c r="AD16" s="41"/>
      <c r="AE16" s="41"/>
      <c r="AF16" s="39"/>
      <c r="AG16" s="40"/>
      <c r="AH16" s="41"/>
      <c r="AI16" s="52"/>
      <c r="AJ16" s="53"/>
      <c r="AK16" s="40"/>
      <c r="AL16" s="41"/>
      <c r="AM16" s="41"/>
      <c r="AN16" s="39"/>
      <c r="AO16" s="43"/>
      <c r="AP16" s="41"/>
      <c r="AQ16" s="41"/>
      <c r="AR16" s="39"/>
      <c r="AS16" s="40"/>
      <c r="AT16" s="41"/>
      <c r="AU16" s="44"/>
      <c r="AV16" s="45"/>
      <c r="AW16" s="46">
        <f t="shared" si="2"/>
        <v>90</v>
      </c>
      <c r="AX16" s="47">
        <f t="shared" si="3"/>
        <v>0</v>
      </c>
      <c r="AY16" s="31">
        <f t="shared" si="4"/>
        <v>1</v>
      </c>
    </row>
    <row r="17" ht="15.0" customHeight="1">
      <c r="A17" s="32" t="s">
        <v>34</v>
      </c>
      <c r="B17" s="33" t="str">
        <f t="shared" si="1"/>
        <v>#REF!</v>
      </c>
      <c r="C17" s="34" t="s">
        <v>35</v>
      </c>
      <c r="D17" s="35">
        <v>90.0</v>
      </c>
      <c r="E17" s="40"/>
      <c r="F17" s="41"/>
      <c r="G17" s="41"/>
      <c r="H17" s="39"/>
      <c r="I17" s="40"/>
      <c r="J17" s="41"/>
      <c r="K17" s="41"/>
      <c r="L17" s="39"/>
      <c r="M17" s="40"/>
      <c r="N17" s="41"/>
      <c r="O17" s="41"/>
      <c r="P17" s="39"/>
      <c r="Q17" s="40"/>
      <c r="R17" s="41"/>
      <c r="S17" s="41"/>
      <c r="T17" s="38">
        <v>4.0</v>
      </c>
      <c r="U17" s="36">
        <v>4.0</v>
      </c>
      <c r="V17" s="37">
        <v>4.0</v>
      </c>
      <c r="W17" s="37">
        <v>4.0</v>
      </c>
      <c r="X17" s="38">
        <v>4.0</v>
      </c>
      <c r="Y17" s="36">
        <v>4.0</v>
      </c>
      <c r="Z17" s="37">
        <v>4.0</v>
      </c>
      <c r="AA17" s="37">
        <v>8.0</v>
      </c>
      <c r="AB17" s="38">
        <v>8.0</v>
      </c>
      <c r="AC17" s="36">
        <v>8.0</v>
      </c>
      <c r="AD17" s="37">
        <v>8.0</v>
      </c>
      <c r="AE17" s="37">
        <v>8.0</v>
      </c>
      <c r="AF17" s="38">
        <v>8.0</v>
      </c>
      <c r="AG17" s="36">
        <v>8.0</v>
      </c>
      <c r="AH17" s="37">
        <v>6.0</v>
      </c>
      <c r="AI17" s="48"/>
      <c r="AJ17" s="49"/>
      <c r="AK17" s="40"/>
      <c r="AL17" s="41"/>
      <c r="AM17" s="41"/>
      <c r="AN17" s="39"/>
      <c r="AO17" s="43"/>
      <c r="AP17" s="41"/>
      <c r="AQ17" s="41"/>
      <c r="AR17" s="39"/>
      <c r="AS17" s="40"/>
      <c r="AT17" s="41"/>
      <c r="AU17" s="44"/>
      <c r="AV17" s="45"/>
      <c r="AW17" s="46">
        <f t="shared" si="2"/>
        <v>90</v>
      </c>
      <c r="AX17" s="47">
        <f t="shared" si="3"/>
        <v>0</v>
      </c>
      <c r="AY17" s="31">
        <f t="shared" si="4"/>
        <v>1</v>
      </c>
    </row>
    <row r="18" ht="15.0" customHeight="1">
      <c r="A18" s="32" t="s">
        <v>36</v>
      </c>
      <c r="B18" s="33" t="str">
        <f t="shared" si="1"/>
        <v>#REF!</v>
      </c>
      <c r="C18" s="34" t="s">
        <v>35</v>
      </c>
      <c r="D18" s="35">
        <v>60.0</v>
      </c>
      <c r="E18" s="36">
        <v>4.0</v>
      </c>
      <c r="F18" s="37">
        <v>4.0</v>
      </c>
      <c r="G18" s="37">
        <v>4.0</v>
      </c>
      <c r="H18" s="38">
        <v>4.0</v>
      </c>
      <c r="I18" s="36">
        <v>4.0</v>
      </c>
      <c r="J18" s="37">
        <v>4.0</v>
      </c>
      <c r="K18" s="37">
        <v>4.0</v>
      </c>
      <c r="L18" s="38">
        <v>4.0</v>
      </c>
      <c r="M18" s="36">
        <v>4.0</v>
      </c>
      <c r="N18" s="37">
        <v>4.0</v>
      </c>
      <c r="O18" s="37">
        <v>4.0</v>
      </c>
      <c r="P18" s="38">
        <v>4.0</v>
      </c>
      <c r="Q18" s="36">
        <v>4.0</v>
      </c>
      <c r="R18" s="37">
        <v>4.0</v>
      </c>
      <c r="S18" s="37">
        <v>4.0</v>
      </c>
      <c r="T18" s="39"/>
      <c r="U18" s="40"/>
      <c r="V18" s="41"/>
      <c r="W18" s="41"/>
      <c r="X18" s="39"/>
      <c r="Y18" s="40"/>
      <c r="Z18" s="41"/>
      <c r="AA18" s="41"/>
      <c r="AB18" s="39"/>
      <c r="AC18" s="40"/>
      <c r="AD18" s="41"/>
      <c r="AE18" s="41"/>
      <c r="AF18" s="39"/>
      <c r="AG18" s="40"/>
      <c r="AH18" s="41"/>
      <c r="AI18" s="52"/>
      <c r="AJ18" s="53"/>
      <c r="AK18" s="40"/>
      <c r="AL18" s="41"/>
      <c r="AM18" s="41"/>
      <c r="AN18" s="39"/>
      <c r="AO18" s="43"/>
      <c r="AP18" s="41"/>
      <c r="AQ18" s="41"/>
      <c r="AR18" s="39"/>
      <c r="AS18" s="40"/>
      <c r="AT18" s="41"/>
      <c r="AU18" s="44"/>
      <c r="AV18" s="45"/>
      <c r="AW18" s="46">
        <f t="shared" si="2"/>
        <v>60</v>
      </c>
      <c r="AX18" s="47">
        <f t="shared" si="3"/>
        <v>0</v>
      </c>
      <c r="AY18" s="31">
        <f t="shared" si="4"/>
        <v>1</v>
      </c>
    </row>
    <row r="19" ht="15.0" customHeight="1">
      <c r="A19" s="32" t="s">
        <v>37</v>
      </c>
      <c r="B19" s="33" t="str">
        <f t="shared" si="1"/>
        <v>#REF!</v>
      </c>
      <c r="C19" s="34" t="s">
        <v>20</v>
      </c>
      <c r="D19" s="35">
        <v>120.0</v>
      </c>
      <c r="E19" s="36">
        <v>4.0</v>
      </c>
      <c r="F19" s="37">
        <v>4.0</v>
      </c>
      <c r="G19" s="37">
        <v>4.0</v>
      </c>
      <c r="H19" s="38">
        <v>4.0</v>
      </c>
      <c r="I19" s="36">
        <v>4.0</v>
      </c>
      <c r="J19" s="37">
        <v>4.0</v>
      </c>
      <c r="K19" s="37">
        <v>4.0</v>
      </c>
      <c r="L19" s="38">
        <v>4.0</v>
      </c>
      <c r="M19" s="36">
        <v>4.0</v>
      </c>
      <c r="N19" s="37">
        <v>4.0</v>
      </c>
      <c r="O19" s="37">
        <v>4.0</v>
      </c>
      <c r="P19" s="38">
        <v>4.0</v>
      </c>
      <c r="Q19" s="36">
        <v>4.0</v>
      </c>
      <c r="R19" s="37">
        <v>4.0</v>
      </c>
      <c r="S19" s="37">
        <v>4.0</v>
      </c>
      <c r="T19" s="38">
        <v>4.0</v>
      </c>
      <c r="U19" s="36">
        <v>4.0</v>
      </c>
      <c r="V19" s="37">
        <v>4.0</v>
      </c>
      <c r="W19" s="37">
        <v>4.0</v>
      </c>
      <c r="X19" s="38">
        <v>4.0</v>
      </c>
      <c r="Y19" s="36">
        <v>4.0</v>
      </c>
      <c r="Z19" s="37">
        <v>4.0</v>
      </c>
      <c r="AA19" s="37">
        <v>4.0</v>
      </c>
      <c r="AB19" s="38">
        <v>4.0</v>
      </c>
      <c r="AC19" s="36">
        <v>4.0</v>
      </c>
      <c r="AD19" s="37">
        <v>4.0</v>
      </c>
      <c r="AE19" s="37">
        <v>4.0</v>
      </c>
      <c r="AF19" s="38">
        <v>4.0</v>
      </c>
      <c r="AG19" s="36">
        <v>4.0</v>
      </c>
      <c r="AH19" s="37">
        <v>4.0</v>
      </c>
      <c r="AI19" s="52"/>
      <c r="AJ19" s="53"/>
      <c r="AK19" s="40"/>
      <c r="AL19" s="41"/>
      <c r="AM19" s="41"/>
      <c r="AN19" s="39"/>
      <c r="AO19" s="43"/>
      <c r="AP19" s="41"/>
      <c r="AQ19" s="41"/>
      <c r="AR19" s="39"/>
      <c r="AS19" s="40"/>
      <c r="AT19" s="41"/>
      <c r="AU19" s="44"/>
      <c r="AV19" s="45"/>
      <c r="AW19" s="46">
        <f t="shared" si="2"/>
        <v>120</v>
      </c>
      <c r="AX19" s="47">
        <f t="shared" si="3"/>
        <v>0</v>
      </c>
      <c r="AY19" s="31">
        <f t="shared" si="4"/>
        <v>1</v>
      </c>
    </row>
    <row r="20" ht="15.0" customHeight="1">
      <c r="A20" s="32" t="s">
        <v>38</v>
      </c>
      <c r="B20" s="33" t="str">
        <f t="shared" si="1"/>
        <v>#REF!</v>
      </c>
      <c r="C20" s="34" t="s">
        <v>39</v>
      </c>
      <c r="D20" s="35">
        <v>45.0</v>
      </c>
      <c r="E20" s="40"/>
      <c r="F20" s="41"/>
      <c r="G20" s="41"/>
      <c r="H20" s="39"/>
      <c r="I20" s="40"/>
      <c r="J20" s="41"/>
      <c r="K20" s="41"/>
      <c r="L20" s="39"/>
      <c r="M20" s="40"/>
      <c r="N20" s="41"/>
      <c r="O20" s="41"/>
      <c r="P20" s="39"/>
      <c r="Q20" s="40"/>
      <c r="R20" s="41"/>
      <c r="S20" s="41"/>
      <c r="T20" s="39"/>
      <c r="U20" s="40"/>
      <c r="V20" s="41"/>
      <c r="W20" s="37">
        <v>4.0</v>
      </c>
      <c r="X20" s="38">
        <v>4.0</v>
      </c>
      <c r="Y20" s="36">
        <v>4.0</v>
      </c>
      <c r="Z20" s="37">
        <v>4.0</v>
      </c>
      <c r="AA20" s="37">
        <v>4.0</v>
      </c>
      <c r="AB20" s="38">
        <v>4.0</v>
      </c>
      <c r="AC20" s="36">
        <v>4.0</v>
      </c>
      <c r="AD20" s="37">
        <v>4.0</v>
      </c>
      <c r="AE20" s="37">
        <v>4.0</v>
      </c>
      <c r="AF20" s="38">
        <v>4.0</v>
      </c>
      <c r="AG20" s="36">
        <v>4.0</v>
      </c>
      <c r="AH20" s="37">
        <v>1.0</v>
      </c>
      <c r="AI20" s="48"/>
      <c r="AJ20" s="49"/>
      <c r="AK20" s="40"/>
      <c r="AL20" s="41"/>
      <c r="AM20" s="41"/>
      <c r="AN20" s="39"/>
      <c r="AO20" s="43"/>
      <c r="AP20" s="41"/>
      <c r="AQ20" s="41"/>
      <c r="AR20" s="39"/>
      <c r="AS20" s="40"/>
      <c r="AT20" s="41"/>
      <c r="AU20" s="44"/>
      <c r="AV20" s="45"/>
      <c r="AW20" s="46">
        <f t="shared" si="2"/>
        <v>45</v>
      </c>
      <c r="AX20" s="47">
        <f t="shared" si="3"/>
        <v>0</v>
      </c>
      <c r="AY20" s="31">
        <f t="shared" si="4"/>
        <v>1</v>
      </c>
    </row>
    <row r="21" ht="15.0" customHeight="1">
      <c r="A21" s="32" t="s">
        <v>40</v>
      </c>
      <c r="B21" s="33" t="str">
        <f t="shared" si="1"/>
        <v>#REF!</v>
      </c>
      <c r="C21" s="34" t="s">
        <v>41</v>
      </c>
      <c r="D21" s="35">
        <v>75.0</v>
      </c>
      <c r="E21" s="36">
        <v>4.0</v>
      </c>
      <c r="F21" s="37">
        <v>4.0</v>
      </c>
      <c r="G21" s="37">
        <v>4.0</v>
      </c>
      <c r="H21" s="38">
        <v>4.0</v>
      </c>
      <c r="I21" s="36">
        <v>4.0</v>
      </c>
      <c r="J21" s="37">
        <v>4.0</v>
      </c>
      <c r="K21" s="37">
        <v>4.0</v>
      </c>
      <c r="L21" s="38">
        <v>4.0</v>
      </c>
      <c r="M21" s="36">
        <v>4.0</v>
      </c>
      <c r="N21" s="37">
        <v>4.0</v>
      </c>
      <c r="O21" s="37">
        <v>4.0</v>
      </c>
      <c r="P21" s="38">
        <v>4.0</v>
      </c>
      <c r="Q21" s="36">
        <v>4.0</v>
      </c>
      <c r="R21" s="37">
        <v>4.0</v>
      </c>
      <c r="S21" s="37">
        <v>4.0</v>
      </c>
      <c r="T21" s="38">
        <v>4.0</v>
      </c>
      <c r="U21" s="36">
        <v>4.0</v>
      </c>
      <c r="V21" s="37">
        <v>4.0</v>
      </c>
      <c r="W21" s="37">
        <v>3.0</v>
      </c>
      <c r="X21" s="39"/>
      <c r="Y21" s="40"/>
      <c r="Z21" s="41"/>
      <c r="AA21" s="41"/>
      <c r="AB21" s="39"/>
      <c r="AC21" s="40"/>
      <c r="AD21" s="41"/>
      <c r="AE21" s="41"/>
      <c r="AF21" s="39"/>
      <c r="AG21" s="40"/>
      <c r="AH21" s="41"/>
      <c r="AI21" s="41"/>
      <c r="AJ21" s="42"/>
      <c r="AK21" s="40"/>
      <c r="AL21" s="41"/>
      <c r="AM21" s="41"/>
      <c r="AN21" s="39"/>
      <c r="AO21" s="43"/>
      <c r="AP21" s="41"/>
      <c r="AQ21" s="41"/>
      <c r="AR21" s="39"/>
      <c r="AS21" s="40"/>
      <c r="AT21" s="41"/>
      <c r="AU21" s="44"/>
      <c r="AV21" s="45"/>
      <c r="AW21" s="46">
        <f t="shared" si="2"/>
        <v>75</v>
      </c>
      <c r="AX21" s="47">
        <f t="shared" si="3"/>
        <v>0</v>
      </c>
      <c r="AY21" s="31">
        <f t="shared" si="4"/>
        <v>1</v>
      </c>
    </row>
    <row r="22" ht="15.0" customHeight="1">
      <c r="A22" s="55" t="s">
        <v>42</v>
      </c>
      <c r="B22" s="56" t="str">
        <f t="shared" si="1"/>
        <v>#REF!</v>
      </c>
      <c r="C22" s="57" t="s">
        <v>35</v>
      </c>
      <c r="D22" s="58">
        <v>120.0</v>
      </c>
      <c r="E22" s="59"/>
      <c r="F22" s="60"/>
      <c r="G22" s="60"/>
      <c r="H22" s="61"/>
      <c r="I22" s="59"/>
      <c r="J22" s="60"/>
      <c r="K22" s="60"/>
      <c r="L22" s="61"/>
      <c r="M22" s="59"/>
      <c r="N22" s="60"/>
      <c r="O22" s="60"/>
      <c r="P22" s="61"/>
      <c r="Q22" s="59"/>
      <c r="R22" s="60"/>
      <c r="S22" s="60"/>
      <c r="T22" s="61"/>
      <c r="U22" s="59"/>
      <c r="V22" s="60"/>
      <c r="W22" s="60"/>
      <c r="X22" s="61"/>
      <c r="Y22" s="59"/>
      <c r="Z22" s="60"/>
      <c r="AA22" s="60"/>
      <c r="AB22" s="61"/>
      <c r="AC22" s="59"/>
      <c r="AD22" s="60"/>
      <c r="AE22" s="60"/>
      <c r="AF22" s="61"/>
      <c r="AG22" s="59"/>
      <c r="AH22" s="60"/>
      <c r="AI22" s="60"/>
      <c r="AJ22" s="62"/>
      <c r="AK22" s="63">
        <v>30.0</v>
      </c>
      <c r="AL22" s="64">
        <v>30.0</v>
      </c>
      <c r="AM22" s="64">
        <v>30.0</v>
      </c>
      <c r="AN22" s="65">
        <v>30.0</v>
      </c>
      <c r="AO22" s="66"/>
      <c r="AP22" s="60"/>
      <c r="AQ22" s="60"/>
      <c r="AR22" s="61"/>
      <c r="AS22" s="59"/>
      <c r="AT22" s="60"/>
      <c r="AU22" s="67"/>
      <c r="AV22" s="68"/>
      <c r="AW22" s="69">
        <f t="shared" si="2"/>
        <v>120</v>
      </c>
      <c r="AX22" s="70">
        <f t="shared" si="3"/>
        <v>0</v>
      </c>
      <c r="AY22" s="71">
        <f t="shared" si="4"/>
        <v>1</v>
      </c>
    </row>
    <row r="23">
      <c r="A23" s="72"/>
      <c r="B23" s="7"/>
      <c r="C23" s="8"/>
      <c r="D23" s="73">
        <f t="shared" ref="D23:AV23" si="5">SUM(D6:D22)</f>
        <v>1215</v>
      </c>
      <c r="E23" s="74">
        <f t="shared" si="5"/>
        <v>36</v>
      </c>
      <c r="F23" s="75">
        <f t="shared" si="5"/>
        <v>36</v>
      </c>
      <c r="G23" s="75">
        <f t="shared" si="5"/>
        <v>36</v>
      </c>
      <c r="H23" s="75">
        <f t="shared" si="5"/>
        <v>36</v>
      </c>
      <c r="I23" s="75">
        <f t="shared" si="5"/>
        <v>36</v>
      </c>
      <c r="J23" s="75">
        <f t="shared" si="5"/>
        <v>36</v>
      </c>
      <c r="K23" s="75">
        <f t="shared" si="5"/>
        <v>32</v>
      </c>
      <c r="L23" s="75">
        <f t="shared" si="5"/>
        <v>32</v>
      </c>
      <c r="M23" s="75">
        <f t="shared" si="5"/>
        <v>32</v>
      </c>
      <c r="N23" s="75">
        <f t="shared" si="5"/>
        <v>36</v>
      </c>
      <c r="O23" s="75">
        <f t="shared" si="5"/>
        <v>36</v>
      </c>
      <c r="P23" s="75">
        <f t="shared" si="5"/>
        <v>36</v>
      </c>
      <c r="Q23" s="75">
        <f t="shared" si="5"/>
        <v>40</v>
      </c>
      <c r="R23" s="75">
        <f t="shared" si="5"/>
        <v>40</v>
      </c>
      <c r="S23" s="75">
        <f t="shared" si="5"/>
        <v>42</v>
      </c>
      <c r="T23" s="75">
        <f t="shared" si="5"/>
        <v>45</v>
      </c>
      <c r="U23" s="75">
        <f t="shared" si="5"/>
        <v>32</v>
      </c>
      <c r="V23" s="75">
        <f t="shared" si="5"/>
        <v>32</v>
      </c>
      <c r="W23" s="75">
        <f t="shared" si="5"/>
        <v>35</v>
      </c>
      <c r="X23" s="75">
        <f t="shared" si="5"/>
        <v>32</v>
      </c>
      <c r="Y23" s="75">
        <f t="shared" si="5"/>
        <v>32</v>
      </c>
      <c r="Z23" s="75">
        <f t="shared" si="5"/>
        <v>32</v>
      </c>
      <c r="AA23" s="75">
        <f t="shared" si="5"/>
        <v>40</v>
      </c>
      <c r="AB23" s="75">
        <f t="shared" si="5"/>
        <v>40</v>
      </c>
      <c r="AC23" s="75">
        <f t="shared" si="5"/>
        <v>40</v>
      </c>
      <c r="AD23" s="75">
        <f t="shared" si="5"/>
        <v>40</v>
      </c>
      <c r="AE23" s="75">
        <f t="shared" si="5"/>
        <v>40</v>
      </c>
      <c r="AF23" s="75">
        <f t="shared" si="5"/>
        <v>40</v>
      </c>
      <c r="AG23" s="75">
        <f t="shared" si="5"/>
        <v>40</v>
      </c>
      <c r="AH23" s="75">
        <f t="shared" si="5"/>
        <v>33</v>
      </c>
      <c r="AI23" s="75">
        <f t="shared" si="5"/>
        <v>0</v>
      </c>
      <c r="AJ23" s="75">
        <f t="shared" si="5"/>
        <v>0</v>
      </c>
      <c r="AK23" s="76">
        <f t="shared" si="5"/>
        <v>30</v>
      </c>
      <c r="AL23" s="76">
        <f t="shared" si="5"/>
        <v>30</v>
      </c>
      <c r="AM23" s="76">
        <f t="shared" si="5"/>
        <v>30</v>
      </c>
      <c r="AN23" s="76">
        <f t="shared" si="5"/>
        <v>30</v>
      </c>
      <c r="AO23" s="75">
        <f t="shared" si="5"/>
        <v>0</v>
      </c>
      <c r="AP23" s="75">
        <f t="shared" si="5"/>
        <v>0</v>
      </c>
      <c r="AQ23" s="75">
        <f t="shared" si="5"/>
        <v>0</v>
      </c>
      <c r="AR23" s="75">
        <f t="shared" si="5"/>
        <v>0</v>
      </c>
      <c r="AS23" s="75">
        <f t="shared" si="5"/>
        <v>0</v>
      </c>
      <c r="AT23" s="75">
        <f t="shared" si="5"/>
        <v>0</v>
      </c>
      <c r="AU23" s="75">
        <f t="shared" si="5"/>
        <v>0</v>
      </c>
      <c r="AV23" s="77">
        <f t="shared" si="5"/>
        <v>0</v>
      </c>
      <c r="AW23" s="78">
        <f>SUM(E23:AV23)</f>
        <v>1215</v>
      </c>
      <c r="AX23" s="78">
        <f t="shared" si="3"/>
        <v>0</v>
      </c>
      <c r="AY23" s="79">
        <f t="shared" si="4"/>
        <v>1</v>
      </c>
    </row>
    <row r="24">
      <c r="A24" s="12" t="s">
        <v>43</v>
      </c>
      <c r="B24" s="13" t="str">
        <f t="shared" ref="B24:B35" si="6">VLOOKUP(C24,#REF!,2,FALSE)</f>
        <v>#REF!</v>
      </c>
      <c r="C24" s="14" t="s">
        <v>41</v>
      </c>
      <c r="D24" s="80">
        <v>90.0</v>
      </c>
      <c r="E24" s="81">
        <v>4.0</v>
      </c>
      <c r="F24" s="82">
        <v>4.0</v>
      </c>
      <c r="G24" s="82">
        <v>4.0</v>
      </c>
      <c r="H24" s="83">
        <v>4.0</v>
      </c>
      <c r="I24" s="81">
        <v>4.0</v>
      </c>
      <c r="J24" s="82">
        <v>4.0</v>
      </c>
      <c r="K24" s="82">
        <v>4.0</v>
      </c>
      <c r="L24" s="83">
        <v>4.0</v>
      </c>
      <c r="M24" s="81">
        <v>4.0</v>
      </c>
      <c r="N24" s="82">
        <v>4.0</v>
      </c>
      <c r="O24" s="82">
        <v>4.0</v>
      </c>
      <c r="P24" s="83">
        <v>4.0</v>
      </c>
      <c r="Q24" s="81">
        <v>4.0</v>
      </c>
      <c r="R24" s="82">
        <v>8.0</v>
      </c>
      <c r="S24" s="82">
        <v>8.0</v>
      </c>
      <c r="T24" s="83">
        <v>8.0</v>
      </c>
      <c r="U24" s="81">
        <v>8.0</v>
      </c>
      <c r="V24" s="82">
        <v>6.0</v>
      </c>
      <c r="W24" s="84"/>
      <c r="X24" s="85"/>
      <c r="Y24" s="86"/>
      <c r="Z24" s="87"/>
      <c r="AA24" s="87"/>
      <c r="AB24" s="88"/>
      <c r="AC24" s="89"/>
      <c r="AD24" s="87"/>
      <c r="AE24" s="87"/>
      <c r="AF24" s="88"/>
      <c r="AG24" s="89"/>
      <c r="AH24" s="87"/>
      <c r="AI24" s="87"/>
      <c r="AJ24" s="88"/>
      <c r="AK24" s="89"/>
      <c r="AL24" s="87"/>
      <c r="AM24" s="87"/>
      <c r="AN24" s="88"/>
      <c r="AO24" s="89"/>
      <c r="AP24" s="87"/>
      <c r="AQ24" s="87"/>
      <c r="AR24" s="88"/>
      <c r="AS24" s="89"/>
      <c r="AT24" s="87"/>
      <c r="AU24" s="87"/>
      <c r="AV24" s="90"/>
      <c r="AW24" s="91">
        <f t="shared" ref="AW24:AW35" si="7">SUM(E24:AR24)</f>
        <v>90</v>
      </c>
      <c r="AX24" s="92">
        <f t="shared" si="3"/>
        <v>0</v>
      </c>
      <c r="AY24" s="93">
        <f t="shared" si="4"/>
        <v>1</v>
      </c>
    </row>
    <row r="25">
      <c r="A25" s="32" t="s">
        <v>44</v>
      </c>
      <c r="B25" s="33" t="str">
        <f t="shared" si="6"/>
        <v>#REF!</v>
      </c>
      <c r="C25" s="34" t="s">
        <v>35</v>
      </c>
      <c r="D25" s="94">
        <v>75.0</v>
      </c>
      <c r="E25" s="36">
        <v>4.0</v>
      </c>
      <c r="F25" s="37">
        <v>4.0</v>
      </c>
      <c r="G25" s="37">
        <v>4.0</v>
      </c>
      <c r="H25" s="38">
        <v>4.0</v>
      </c>
      <c r="I25" s="36">
        <v>4.0</v>
      </c>
      <c r="J25" s="37">
        <v>4.0</v>
      </c>
      <c r="K25" s="37">
        <v>4.0</v>
      </c>
      <c r="L25" s="38">
        <v>4.0</v>
      </c>
      <c r="M25" s="36">
        <v>4.0</v>
      </c>
      <c r="N25" s="37">
        <v>4.0</v>
      </c>
      <c r="O25" s="37">
        <v>4.0</v>
      </c>
      <c r="P25" s="38">
        <v>4.0</v>
      </c>
      <c r="Q25" s="36">
        <v>4.0</v>
      </c>
      <c r="R25" s="37">
        <v>4.0</v>
      </c>
      <c r="S25" s="37">
        <v>4.0</v>
      </c>
      <c r="T25" s="38">
        <v>4.0</v>
      </c>
      <c r="U25" s="36">
        <v>4.0</v>
      </c>
      <c r="V25" s="37">
        <v>4.0</v>
      </c>
      <c r="W25" s="37">
        <v>3.0</v>
      </c>
      <c r="X25" s="45"/>
      <c r="Y25" s="95"/>
      <c r="Z25" s="44"/>
      <c r="AA25" s="44"/>
      <c r="AB25" s="45"/>
      <c r="AC25" s="95"/>
      <c r="AD25" s="44"/>
      <c r="AE25" s="44"/>
      <c r="AF25" s="45"/>
      <c r="AG25" s="95"/>
      <c r="AH25" s="44"/>
      <c r="AI25" s="44"/>
      <c r="AJ25" s="45"/>
      <c r="AK25" s="95"/>
      <c r="AL25" s="44"/>
      <c r="AM25" s="44"/>
      <c r="AN25" s="45"/>
      <c r="AO25" s="95"/>
      <c r="AP25" s="44"/>
      <c r="AQ25" s="44"/>
      <c r="AR25" s="45"/>
      <c r="AS25" s="95"/>
      <c r="AT25" s="44"/>
      <c r="AU25" s="44"/>
      <c r="AV25" s="96"/>
      <c r="AW25" s="97">
        <f t="shared" si="7"/>
        <v>75</v>
      </c>
      <c r="AX25" s="98">
        <f t="shared" si="3"/>
        <v>0</v>
      </c>
      <c r="AY25" s="99">
        <f t="shared" si="4"/>
        <v>1</v>
      </c>
    </row>
    <row r="26">
      <c r="A26" s="32" t="s">
        <v>45</v>
      </c>
      <c r="B26" s="33" t="str">
        <f t="shared" si="6"/>
        <v>#REF!</v>
      </c>
      <c r="C26" s="34" t="s">
        <v>20</v>
      </c>
      <c r="D26" s="94">
        <v>120.0</v>
      </c>
      <c r="E26" s="36">
        <v>4.0</v>
      </c>
      <c r="F26" s="37">
        <v>4.0</v>
      </c>
      <c r="G26" s="37">
        <v>4.0</v>
      </c>
      <c r="H26" s="38">
        <v>4.0</v>
      </c>
      <c r="I26" s="36">
        <v>4.0</v>
      </c>
      <c r="J26" s="37">
        <v>4.0</v>
      </c>
      <c r="K26" s="37">
        <v>4.0</v>
      </c>
      <c r="L26" s="38">
        <v>4.0</v>
      </c>
      <c r="M26" s="36">
        <v>4.0</v>
      </c>
      <c r="N26" s="37">
        <v>4.0</v>
      </c>
      <c r="O26" s="37">
        <v>4.0</v>
      </c>
      <c r="P26" s="38">
        <v>4.0</v>
      </c>
      <c r="Q26" s="36">
        <v>4.0</v>
      </c>
      <c r="R26" s="37">
        <v>4.0</v>
      </c>
      <c r="S26" s="37">
        <v>4.0</v>
      </c>
      <c r="T26" s="38">
        <v>4.0</v>
      </c>
      <c r="U26" s="36">
        <v>4.0</v>
      </c>
      <c r="V26" s="37">
        <v>4.0</v>
      </c>
      <c r="W26" s="37">
        <v>4.0</v>
      </c>
      <c r="X26" s="38">
        <v>4.0</v>
      </c>
      <c r="Y26" s="36">
        <v>4.0</v>
      </c>
      <c r="Z26" s="37">
        <v>4.0</v>
      </c>
      <c r="AA26" s="37">
        <v>4.0</v>
      </c>
      <c r="AB26" s="38">
        <v>4.0</v>
      </c>
      <c r="AC26" s="36">
        <v>4.0</v>
      </c>
      <c r="AD26" s="37">
        <v>4.0</v>
      </c>
      <c r="AE26" s="37">
        <v>4.0</v>
      </c>
      <c r="AF26" s="38">
        <v>4.0</v>
      </c>
      <c r="AG26" s="100">
        <v>4.0</v>
      </c>
      <c r="AH26" s="101">
        <v>4.0</v>
      </c>
      <c r="AI26" s="44"/>
      <c r="AJ26" s="45"/>
      <c r="AK26" s="95"/>
      <c r="AL26" s="44"/>
      <c r="AM26" s="44"/>
      <c r="AN26" s="45"/>
      <c r="AO26" s="95"/>
      <c r="AP26" s="44"/>
      <c r="AQ26" s="44"/>
      <c r="AR26" s="45"/>
      <c r="AS26" s="95"/>
      <c r="AT26" s="44"/>
      <c r="AU26" s="44"/>
      <c r="AV26" s="96"/>
      <c r="AW26" s="97">
        <f t="shared" si="7"/>
        <v>120</v>
      </c>
      <c r="AX26" s="98">
        <f t="shared" si="3"/>
        <v>0</v>
      </c>
      <c r="AY26" s="99">
        <f t="shared" si="4"/>
        <v>1</v>
      </c>
    </row>
    <row r="27">
      <c r="A27" s="32" t="s">
        <v>46</v>
      </c>
      <c r="B27" s="33" t="str">
        <f t="shared" si="6"/>
        <v>#REF!</v>
      </c>
      <c r="C27" s="34" t="s">
        <v>41</v>
      </c>
      <c r="D27" s="94">
        <v>60.0</v>
      </c>
      <c r="E27" s="95"/>
      <c r="F27" s="44"/>
      <c r="G27" s="44"/>
      <c r="H27" s="45"/>
      <c r="I27" s="95"/>
      <c r="J27" s="44"/>
      <c r="K27" s="44"/>
      <c r="L27" s="45"/>
      <c r="M27" s="95"/>
      <c r="N27" s="44"/>
      <c r="O27" s="44"/>
      <c r="P27" s="45"/>
      <c r="Q27" s="95"/>
      <c r="R27" s="44"/>
      <c r="S27" s="44"/>
      <c r="T27" s="45"/>
      <c r="U27" s="95"/>
      <c r="V27" s="44"/>
      <c r="W27" s="44"/>
      <c r="X27" s="102">
        <v>4.0</v>
      </c>
      <c r="Y27" s="36">
        <v>4.0</v>
      </c>
      <c r="Z27" s="37">
        <v>4.0</v>
      </c>
      <c r="AA27" s="37">
        <v>4.0</v>
      </c>
      <c r="AB27" s="38">
        <v>4.0</v>
      </c>
      <c r="AC27" s="36">
        <v>4.0</v>
      </c>
      <c r="AD27" s="37">
        <v>4.0</v>
      </c>
      <c r="AE27" s="37">
        <v>8.0</v>
      </c>
      <c r="AF27" s="38">
        <v>8.0</v>
      </c>
      <c r="AG27" s="36">
        <v>8.0</v>
      </c>
      <c r="AH27" s="37">
        <v>8.0</v>
      </c>
      <c r="AI27" s="44"/>
      <c r="AJ27" s="45"/>
      <c r="AK27" s="95"/>
      <c r="AL27" s="44"/>
      <c r="AM27" s="44"/>
      <c r="AN27" s="45"/>
      <c r="AO27" s="95"/>
      <c r="AP27" s="44"/>
      <c r="AQ27" s="44"/>
      <c r="AR27" s="45"/>
      <c r="AS27" s="95"/>
      <c r="AT27" s="44"/>
      <c r="AU27" s="44"/>
      <c r="AV27" s="96"/>
      <c r="AW27" s="97">
        <f t="shared" si="7"/>
        <v>60</v>
      </c>
      <c r="AX27" s="98">
        <f t="shared" si="3"/>
        <v>0</v>
      </c>
      <c r="AY27" s="99">
        <f t="shared" si="4"/>
        <v>1</v>
      </c>
    </row>
    <row r="28">
      <c r="A28" s="32" t="s">
        <v>47</v>
      </c>
      <c r="B28" s="33" t="str">
        <f t="shared" si="6"/>
        <v>#REF!</v>
      </c>
      <c r="C28" s="34" t="s">
        <v>20</v>
      </c>
      <c r="D28" s="94">
        <v>90.0</v>
      </c>
      <c r="E28" s="95"/>
      <c r="F28" s="44"/>
      <c r="G28" s="44"/>
      <c r="H28" s="45"/>
      <c r="I28" s="95"/>
      <c r="J28" s="44"/>
      <c r="K28" s="44"/>
      <c r="L28" s="45"/>
      <c r="M28" s="95"/>
      <c r="N28" s="44"/>
      <c r="O28" s="44"/>
      <c r="P28" s="45"/>
      <c r="Q28" s="95"/>
      <c r="R28" s="44"/>
      <c r="S28" s="44"/>
      <c r="T28" s="45"/>
      <c r="U28" s="36">
        <v>4.0</v>
      </c>
      <c r="V28" s="37">
        <v>4.0</v>
      </c>
      <c r="W28" s="37">
        <v>4.0</v>
      </c>
      <c r="X28" s="38">
        <v>4.0</v>
      </c>
      <c r="Y28" s="36">
        <v>4.0</v>
      </c>
      <c r="Z28" s="37">
        <v>8.0</v>
      </c>
      <c r="AA28" s="37">
        <v>8.0</v>
      </c>
      <c r="AB28" s="38">
        <v>8.0</v>
      </c>
      <c r="AC28" s="36">
        <v>8.0</v>
      </c>
      <c r="AD28" s="37">
        <v>8.0</v>
      </c>
      <c r="AE28" s="37">
        <v>8.0</v>
      </c>
      <c r="AF28" s="38">
        <v>8.0</v>
      </c>
      <c r="AG28" s="36">
        <v>8.0</v>
      </c>
      <c r="AH28" s="37">
        <v>6.0</v>
      </c>
      <c r="AI28" s="44"/>
      <c r="AJ28" s="45"/>
      <c r="AK28" s="95"/>
      <c r="AL28" s="44"/>
      <c r="AM28" s="44"/>
      <c r="AN28" s="45"/>
      <c r="AO28" s="95"/>
      <c r="AP28" s="44"/>
      <c r="AQ28" s="44"/>
      <c r="AR28" s="45"/>
      <c r="AS28" s="95"/>
      <c r="AT28" s="44"/>
      <c r="AU28" s="44"/>
      <c r="AV28" s="96"/>
      <c r="AW28" s="97">
        <f t="shared" si="7"/>
        <v>90</v>
      </c>
      <c r="AX28" s="98">
        <f t="shared" si="3"/>
        <v>0</v>
      </c>
      <c r="AY28" s="99">
        <f t="shared" si="4"/>
        <v>1</v>
      </c>
    </row>
    <row r="29">
      <c r="A29" s="32" t="s">
        <v>48</v>
      </c>
      <c r="B29" s="33" t="str">
        <f t="shared" si="6"/>
        <v>#REF!</v>
      </c>
      <c r="C29" s="34" t="s">
        <v>35</v>
      </c>
      <c r="D29" s="94">
        <v>90.0</v>
      </c>
      <c r="E29" s="95"/>
      <c r="F29" s="44"/>
      <c r="G29" s="44"/>
      <c r="H29" s="45"/>
      <c r="I29" s="95"/>
      <c r="J29" s="44"/>
      <c r="K29" s="44"/>
      <c r="L29" s="45"/>
      <c r="M29" s="95"/>
      <c r="N29" s="44"/>
      <c r="O29" s="44"/>
      <c r="P29" s="45"/>
      <c r="Q29" s="95"/>
      <c r="R29" s="44"/>
      <c r="S29" s="44"/>
      <c r="T29" s="45"/>
      <c r="U29" s="36">
        <v>4.0</v>
      </c>
      <c r="V29" s="37">
        <v>4.0</v>
      </c>
      <c r="W29" s="37">
        <v>4.0</v>
      </c>
      <c r="X29" s="38">
        <v>4.0</v>
      </c>
      <c r="Y29" s="36">
        <v>4.0</v>
      </c>
      <c r="Z29" s="37">
        <v>8.0</v>
      </c>
      <c r="AA29" s="37">
        <v>8.0</v>
      </c>
      <c r="AB29" s="38">
        <v>8.0</v>
      </c>
      <c r="AC29" s="36">
        <v>8.0</v>
      </c>
      <c r="AD29" s="37">
        <v>8.0</v>
      </c>
      <c r="AE29" s="37">
        <v>8.0</v>
      </c>
      <c r="AF29" s="38">
        <v>8.0</v>
      </c>
      <c r="AG29" s="36">
        <v>8.0</v>
      </c>
      <c r="AH29" s="37">
        <v>6.0</v>
      </c>
      <c r="AI29" s="44"/>
      <c r="AJ29" s="45"/>
      <c r="AK29" s="95"/>
      <c r="AL29" s="44"/>
      <c r="AM29" s="44"/>
      <c r="AN29" s="45"/>
      <c r="AO29" s="95"/>
      <c r="AP29" s="44"/>
      <c r="AQ29" s="44"/>
      <c r="AR29" s="45"/>
      <c r="AS29" s="95"/>
      <c r="AT29" s="44"/>
      <c r="AU29" s="44"/>
      <c r="AV29" s="96"/>
      <c r="AW29" s="97">
        <f t="shared" si="7"/>
        <v>90</v>
      </c>
      <c r="AX29" s="98">
        <f t="shared" si="3"/>
        <v>0</v>
      </c>
      <c r="AY29" s="99">
        <f t="shared" si="4"/>
        <v>1</v>
      </c>
    </row>
    <row r="30">
      <c r="A30" s="32" t="s">
        <v>49</v>
      </c>
      <c r="B30" s="33" t="str">
        <f t="shared" si="6"/>
        <v>#REF!</v>
      </c>
      <c r="C30" s="34" t="s">
        <v>41</v>
      </c>
      <c r="D30" s="94">
        <v>60.0</v>
      </c>
      <c r="E30" s="95"/>
      <c r="F30" s="44"/>
      <c r="G30" s="44"/>
      <c r="H30" s="45"/>
      <c r="I30" s="95"/>
      <c r="J30" s="44"/>
      <c r="K30" s="44"/>
      <c r="L30" s="45"/>
      <c r="M30" s="95"/>
      <c r="N30" s="44"/>
      <c r="O30" s="44"/>
      <c r="P30" s="45"/>
      <c r="Q30" s="95"/>
      <c r="R30" s="44"/>
      <c r="S30" s="44"/>
      <c r="T30" s="45"/>
      <c r="U30" s="95"/>
      <c r="V30" s="44"/>
      <c r="W30" s="44"/>
      <c r="X30" s="102">
        <v>4.0</v>
      </c>
      <c r="Y30" s="36">
        <v>4.0</v>
      </c>
      <c r="Z30" s="37">
        <v>4.0</v>
      </c>
      <c r="AA30" s="37">
        <v>4.0</v>
      </c>
      <c r="AB30" s="38">
        <v>4.0</v>
      </c>
      <c r="AC30" s="36">
        <v>4.0</v>
      </c>
      <c r="AD30" s="37">
        <v>4.0</v>
      </c>
      <c r="AE30" s="37">
        <v>8.0</v>
      </c>
      <c r="AF30" s="38">
        <v>8.0</v>
      </c>
      <c r="AG30" s="36">
        <v>8.0</v>
      </c>
      <c r="AH30" s="37">
        <v>8.0</v>
      </c>
      <c r="AI30" s="44"/>
      <c r="AJ30" s="45"/>
      <c r="AK30" s="95"/>
      <c r="AL30" s="44"/>
      <c r="AM30" s="44"/>
      <c r="AN30" s="45"/>
      <c r="AO30" s="95"/>
      <c r="AP30" s="44"/>
      <c r="AQ30" s="44"/>
      <c r="AR30" s="45"/>
      <c r="AS30" s="95"/>
      <c r="AT30" s="44"/>
      <c r="AU30" s="44"/>
      <c r="AV30" s="96"/>
      <c r="AW30" s="97">
        <f t="shared" si="7"/>
        <v>60</v>
      </c>
      <c r="AX30" s="98">
        <f t="shared" si="3"/>
        <v>0</v>
      </c>
      <c r="AY30" s="99">
        <f t="shared" si="4"/>
        <v>1</v>
      </c>
    </row>
    <row r="31">
      <c r="A31" s="32" t="s">
        <v>50</v>
      </c>
      <c r="B31" s="33" t="str">
        <f t="shared" si="6"/>
        <v>#REF!</v>
      </c>
      <c r="C31" s="34" t="s">
        <v>35</v>
      </c>
      <c r="D31" s="94">
        <v>120.0</v>
      </c>
      <c r="E31" s="36">
        <v>8.0</v>
      </c>
      <c r="F31" s="37">
        <v>8.0</v>
      </c>
      <c r="G31" s="37">
        <v>8.0</v>
      </c>
      <c r="H31" s="38">
        <v>8.0</v>
      </c>
      <c r="I31" s="36">
        <v>8.0</v>
      </c>
      <c r="J31" s="37">
        <v>8.0</v>
      </c>
      <c r="K31" s="37">
        <v>8.0</v>
      </c>
      <c r="L31" s="38">
        <v>8.0</v>
      </c>
      <c r="M31" s="36">
        <v>8.0</v>
      </c>
      <c r="N31" s="37">
        <v>8.0</v>
      </c>
      <c r="O31" s="37">
        <v>8.0</v>
      </c>
      <c r="P31" s="38">
        <v>8.0</v>
      </c>
      <c r="Q31" s="36">
        <v>8.0</v>
      </c>
      <c r="R31" s="37">
        <v>8.0</v>
      </c>
      <c r="S31" s="37">
        <v>8.0</v>
      </c>
      <c r="T31" s="45"/>
      <c r="U31" s="95"/>
      <c r="V31" s="44"/>
      <c r="W31" s="44"/>
      <c r="X31" s="45"/>
      <c r="Y31" s="95"/>
      <c r="Z31" s="44"/>
      <c r="AA31" s="44"/>
      <c r="AB31" s="45"/>
      <c r="AC31" s="95"/>
      <c r="AD31" s="44"/>
      <c r="AE31" s="44"/>
      <c r="AF31" s="45"/>
      <c r="AG31" s="95"/>
      <c r="AH31" s="44"/>
      <c r="AI31" s="44"/>
      <c r="AJ31" s="45"/>
      <c r="AK31" s="95"/>
      <c r="AL31" s="44"/>
      <c r="AM31" s="44"/>
      <c r="AN31" s="45"/>
      <c r="AO31" s="95"/>
      <c r="AP31" s="44"/>
      <c r="AQ31" s="44"/>
      <c r="AR31" s="45"/>
      <c r="AS31" s="95"/>
      <c r="AT31" s="44"/>
      <c r="AU31" s="44"/>
      <c r="AV31" s="96"/>
      <c r="AW31" s="97">
        <f t="shared" si="7"/>
        <v>120</v>
      </c>
      <c r="AX31" s="98">
        <f t="shared" si="3"/>
        <v>0</v>
      </c>
      <c r="AY31" s="99">
        <f t="shared" si="4"/>
        <v>1</v>
      </c>
    </row>
    <row r="32">
      <c r="A32" s="32" t="s">
        <v>51</v>
      </c>
      <c r="B32" s="33" t="str">
        <f t="shared" si="6"/>
        <v>#REF!</v>
      </c>
      <c r="C32" s="34" t="s">
        <v>27</v>
      </c>
      <c r="D32" s="94">
        <v>30.0</v>
      </c>
      <c r="E32" s="36">
        <v>2.0</v>
      </c>
      <c r="F32" s="37">
        <v>2.0</v>
      </c>
      <c r="G32" s="37">
        <v>2.0</v>
      </c>
      <c r="H32" s="38">
        <v>2.0</v>
      </c>
      <c r="I32" s="36">
        <v>2.0</v>
      </c>
      <c r="J32" s="37">
        <v>2.0</v>
      </c>
      <c r="K32" s="37">
        <v>2.0</v>
      </c>
      <c r="L32" s="38">
        <v>2.0</v>
      </c>
      <c r="M32" s="36">
        <v>2.0</v>
      </c>
      <c r="N32" s="37">
        <v>2.0</v>
      </c>
      <c r="O32" s="37">
        <v>2.0</v>
      </c>
      <c r="P32" s="38">
        <v>2.0</v>
      </c>
      <c r="Q32" s="36">
        <v>2.0</v>
      </c>
      <c r="R32" s="37">
        <v>2.0</v>
      </c>
      <c r="S32" s="37">
        <v>2.0</v>
      </c>
      <c r="T32" s="45"/>
      <c r="U32" s="95"/>
      <c r="V32" s="44"/>
      <c r="W32" s="44"/>
      <c r="X32" s="45"/>
      <c r="Y32" s="95"/>
      <c r="Z32" s="44"/>
      <c r="AA32" s="44"/>
      <c r="AB32" s="45"/>
      <c r="AC32" s="95"/>
      <c r="AD32" s="44"/>
      <c r="AE32" s="44"/>
      <c r="AF32" s="45"/>
      <c r="AG32" s="95"/>
      <c r="AH32" s="44"/>
      <c r="AI32" s="44"/>
      <c r="AJ32" s="45"/>
      <c r="AK32" s="95"/>
      <c r="AL32" s="44"/>
      <c r="AM32" s="44"/>
      <c r="AN32" s="45"/>
      <c r="AO32" s="95"/>
      <c r="AP32" s="44"/>
      <c r="AQ32" s="44"/>
      <c r="AR32" s="45"/>
      <c r="AS32" s="95"/>
      <c r="AT32" s="44"/>
      <c r="AU32" s="44"/>
      <c r="AV32" s="96"/>
      <c r="AW32" s="97">
        <f t="shared" si="7"/>
        <v>30</v>
      </c>
      <c r="AX32" s="98">
        <f t="shared" si="3"/>
        <v>0</v>
      </c>
      <c r="AY32" s="99">
        <f t="shared" si="4"/>
        <v>1</v>
      </c>
    </row>
    <row r="33">
      <c r="A33" s="32" t="s">
        <v>52</v>
      </c>
      <c r="B33" s="33" t="str">
        <f t="shared" si="6"/>
        <v>#REF!</v>
      </c>
      <c r="C33" s="34" t="s">
        <v>30</v>
      </c>
      <c r="D33" s="94">
        <v>75.0</v>
      </c>
      <c r="E33" s="95"/>
      <c r="F33" s="44"/>
      <c r="G33" s="44"/>
      <c r="H33" s="45"/>
      <c r="I33" s="95"/>
      <c r="J33" s="44"/>
      <c r="K33" s="44"/>
      <c r="L33" s="45"/>
      <c r="M33" s="95"/>
      <c r="N33" s="44"/>
      <c r="O33" s="44"/>
      <c r="P33" s="45"/>
      <c r="Q33" s="95"/>
      <c r="R33" s="44"/>
      <c r="S33" s="44"/>
      <c r="T33" s="45"/>
      <c r="U33" s="95"/>
      <c r="V33" s="44"/>
      <c r="W33" s="37">
        <v>4.0</v>
      </c>
      <c r="X33" s="38">
        <v>4.0</v>
      </c>
      <c r="Y33" s="36">
        <v>4.0</v>
      </c>
      <c r="Z33" s="37">
        <v>4.0</v>
      </c>
      <c r="AA33" s="37">
        <v>4.0</v>
      </c>
      <c r="AB33" s="38">
        <v>8.0</v>
      </c>
      <c r="AC33" s="36">
        <v>8.0</v>
      </c>
      <c r="AD33" s="37">
        <v>8.0</v>
      </c>
      <c r="AE33" s="37">
        <v>8.0</v>
      </c>
      <c r="AF33" s="38">
        <v>8.0</v>
      </c>
      <c r="AG33" s="36">
        <v>8.0</v>
      </c>
      <c r="AH33" s="37">
        <v>7.0</v>
      </c>
      <c r="AI33" s="44"/>
      <c r="AJ33" s="45"/>
      <c r="AK33" s="95"/>
      <c r="AL33" s="44"/>
      <c r="AM33" s="44"/>
      <c r="AN33" s="45"/>
      <c r="AO33" s="95"/>
      <c r="AP33" s="44"/>
      <c r="AQ33" s="44"/>
      <c r="AR33" s="45"/>
      <c r="AS33" s="95"/>
      <c r="AT33" s="44"/>
      <c r="AU33" s="44"/>
      <c r="AV33" s="96"/>
      <c r="AW33" s="97">
        <f t="shared" si="7"/>
        <v>75</v>
      </c>
      <c r="AX33" s="98">
        <f t="shared" si="3"/>
        <v>0</v>
      </c>
      <c r="AY33" s="99">
        <f t="shared" si="4"/>
        <v>1</v>
      </c>
    </row>
    <row r="34">
      <c r="A34" s="32" t="s">
        <v>53</v>
      </c>
      <c r="B34" s="33" t="str">
        <f t="shared" si="6"/>
        <v>#REF!</v>
      </c>
      <c r="C34" s="34" t="s">
        <v>27</v>
      </c>
      <c r="D34" s="94">
        <v>30.0</v>
      </c>
      <c r="E34" s="95"/>
      <c r="F34" s="44"/>
      <c r="G34" s="44"/>
      <c r="H34" s="45"/>
      <c r="I34" s="95"/>
      <c r="J34" s="44"/>
      <c r="K34" s="44"/>
      <c r="L34" s="45"/>
      <c r="M34" s="95"/>
      <c r="N34" s="44"/>
      <c r="O34" s="44"/>
      <c r="P34" s="45"/>
      <c r="Q34" s="95"/>
      <c r="R34" s="44"/>
      <c r="S34" s="44"/>
      <c r="T34" s="45"/>
      <c r="U34" s="95"/>
      <c r="V34" s="44"/>
      <c r="W34" s="37">
        <v>2.0</v>
      </c>
      <c r="X34" s="38">
        <v>2.0</v>
      </c>
      <c r="Y34" s="36">
        <v>2.0</v>
      </c>
      <c r="Z34" s="37">
        <v>2.0</v>
      </c>
      <c r="AA34" s="37">
        <v>2.0</v>
      </c>
      <c r="AB34" s="38">
        <v>2.0</v>
      </c>
      <c r="AC34" s="36">
        <v>2.0</v>
      </c>
      <c r="AD34" s="37">
        <v>2.0</v>
      </c>
      <c r="AE34" s="37">
        <v>2.0</v>
      </c>
      <c r="AF34" s="38">
        <v>4.0</v>
      </c>
      <c r="AG34" s="36">
        <v>4.0</v>
      </c>
      <c r="AH34" s="37">
        <v>4.0</v>
      </c>
      <c r="AI34" s="44"/>
      <c r="AJ34" s="45"/>
      <c r="AK34" s="95"/>
      <c r="AL34" s="44"/>
      <c r="AM34" s="44"/>
      <c r="AN34" s="45"/>
      <c r="AO34" s="95"/>
      <c r="AP34" s="44"/>
      <c r="AQ34" s="44"/>
      <c r="AR34" s="45"/>
      <c r="AS34" s="95"/>
      <c r="AT34" s="44"/>
      <c r="AU34" s="44"/>
      <c r="AV34" s="96"/>
      <c r="AW34" s="97">
        <f t="shared" si="7"/>
        <v>30</v>
      </c>
      <c r="AX34" s="98">
        <f t="shared" si="3"/>
        <v>0</v>
      </c>
      <c r="AY34" s="99">
        <f t="shared" si="4"/>
        <v>1</v>
      </c>
    </row>
    <row r="35">
      <c r="A35" s="55" t="s">
        <v>54</v>
      </c>
      <c r="B35" s="56" t="str">
        <f t="shared" si="6"/>
        <v>#REF!</v>
      </c>
      <c r="C35" s="57" t="s">
        <v>35</v>
      </c>
      <c r="D35" s="103">
        <v>360.0</v>
      </c>
      <c r="E35" s="104"/>
      <c r="F35" s="105"/>
      <c r="G35" s="105"/>
      <c r="H35" s="106"/>
      <c r="I35" s="104"/>
      <c r="J35" s="105"/>
      <c r="K35" s="105"/>
      <c r="L35" s="106"/>
      <c r="M35" s="104"/>
      <c r="N35" s="105"/>
      <c r="O35" s="105"/>
      <c r="P35" s="106"/>
      <c r="Q35" s="104"/>
      <c r="R35" s="105"/>
      <c r="S35" s="105"/>
      <c r="T35" s="106"/>
      <c r="U35" s="104"/>
      <c r="V35" s="105"/>
      <c r="W35" s="105"/>
      <c r="X35" s="106"/>
      <c r="Y35" s="104"/>
      <c r="Z35" s="105"/>
      <c r="AA35" s="105"/>
      <c r="AB35" s="106"/>
      <c r="AC35" s="104"/>
      <c r="AD35" s="105"/>
      <c r="AE35" s="105"/>
      <c r="AF35" s="106"/>
      <c r="AG35" s="104"/>
      <c r="AH35" s="105"/>
      <c r="AI35" s="107">
        <v>45.0</v>
      </c>
      <c r="AJ35" s="108">
        <v>45.0</v>
      </c>
      <c r="AK35" s="109">
        <v>45.0</v>
      </c>
      <c r="AL35" s="107">
        <v>45.0</v>
      </c>
      <c r="AM35" s="107">
        <v>45.0</v>
      </c>
      <c r="AN35" s="108">
        <v>45.0</v>
      </c>
      <c r="AO35" s="109">
        <v>45.0</v>
      </c>
      <c r="AP35" s="107">
        <v>45.0</v>
      </c>
      <c r="AQ35" s="105"/>
      <c r="AR35" s="106"/>
      <c r="AS35" s="104"/>
      <c r="AT35" s="105"/>
      <c r="AU35" s="105"/>
      <c r="AV35" s="110"/>
      <c r="AW35" s="111">
        <f t="shared" si="7"/>
        <v>360</v>
      </c>
      <c r="AX35" s="112">
        <f t="shared" si="3"/>
        <v>0</v>
      </c>
      <c r="AY35" s="113">
        <f t="shared" si="4"/>
        <v>1</v>
      </c>
    </row>
    <row r="36">
      <c r="A36" s="72"/>
      <c r="B36" s="7"/>
      <c r="C36" s="8"/>
      <c r="D36" s="114">
        <f t="shared" ref="D36:AV36" si="8">SUM(D24:D35)</f>
        <v>1200</v>
      </c>
      <c r="E36" s="115">
        <f t="shared" si="8"/>
        <v>22</v>
      </c>
      <c r="F36" s="116">
        <f t="shared" si="8"/>
        <v>22</v>
      </c>
      <c r="G36" s="116">
        <f t="shared" si="8"/>
        <v>22</v>
      </c>
      <c r="H36" s="116">
        <f t="shared" si="8"/>
        <v>22</v>
      </c>
      <c r="I36" s="116">
        <f t="shared" si="8"/>
        <v>22</v>
      </c>
      <c r="J36" s="116">
        <f t="shared" si="8"/>
        <v>22</v>
      </c>
      <c r="K36" s="116">
        <f t="shared" si="8"/>
        <v>22</v>
      </c>
      <c r="L36" s="116">
        <f t="shared" si="8"/>
        <v>22</v>
      </c>
      <c r="M36" s="116">
        <f t="shared" si="8"/>
        <v>22</v>
      </c>
      <c r="N36" s="116">
        <f t="shared" si="8"/>
        <v>22</v>
      </c>
      <c r="O36" s="116">
        <f t="shared" si="8"/>
        <v>22</v>
      </c>
      <c r="P36" s="116">
        <f t="shared" si="8"/>
        <v>22</v>
      </c>
      <c r="Q36" s="116">
        <f t="shared" si="8"/>
        <v>22</v>
      </c>
      <c r="R36" s="116">
        <f t="shared" si="8"/>
        <v>26</v>
      </c>
      <c r="S36" s="116">
        <f t="shared" si="8"/>
        <v>26</v>
      </c>
      <c r="T36" s="116">
        <f t="shared" si="8"/>
        <v>16</v>
      </c>
      <c r="U36" s="116">
        <f t="shared" si="8"/>
        <v>24</v>
      </c>
      <c r="V36" s="116">
        <f t="shared" si="8"/>
        <v>22</v>
      </c>
      <c r="W36" s="116">
        <f t="shared" si="8"/>
        <v>21</v>
      </c>
      <c r="X36" s="116">
        <f t="shared" si="8"/>
        <v>26</v>
      </c>
      <c r="Y36" s="116">
        <f t="shared" si="8"/>
        <v>26</v>
      </c>
      <c r="Z36" s="116">
        <f t="shared" si="8"/>
        <v>34</v>
      </c>
      <c r="AA36" s="116">
        <f t="shared" si="8"/>
        <v>34</v>
      </c>
      <c r="AB36" s="116">
        <f t="shared" si="8"/>
        <v>38</v>
      </c>
      <c r="AC36" s="116">
        <f t="shared" si="8"/>
        <v>38</v>
      </c>
      <c r="AD36" s="116">
        <f t="shared" si="8"/>
        <v>38</v>
      </c>
      <c r="AE36" s="116">
        <f t="shared" si="8"/>
        <v>46</v>
      </c>
      <c r="AF36" s="116">
        <f t="shared" si="8"/>
        <v>48</v>
      </c>
      <c r="AG36" s="116">
        <f t="shared" si="8"/>
        <v>48</v>
      </c>
      <c r="AH36" s="116">
        <f t="shared" si="8"/>
        <v>43</v>
      </c>
      <c r="AI36" s="116">
        <f t="shared" si="8"/>
        <v>45</v>
      </c>
      <c r="AJ36" s="116">
        <f t="shared" si="8"/>
        <v>45</v>
      </c>
      <c r="AK36" s="116">
        <f t="shared" si="8"/>
        <v>45</v>
      </c>
      <c r="AL36" s="116">
        <f t="shared" si="8"/>
        <v>45</v>
      </c>
      <c r="AM36" s="116">
        <f t="shared" si="8"/>
        <v>45</v>
      </c>
      <c r="AN36" s="116">
        <f t="shared" si="8"/>
        <v>45</v>
      </c>
      <c r="AO36" s="116">
        <f t="shared" si="8"/>
        <v>45</v>
      </c>
      <c r="AP36" s="116">
        <f t="shared" si="8"/>
        <v>45</v>
      </c>
      <c r="AQ36" s="116">
        <f t="shared" si="8"/>
        <v>0</v>
      </c>
      <c r="AR36" s="116">
        <f t="shared" si="8"/>
        <v>0</v>
      </c>
      <c r="AS36" s="116">
        <f t="shared" si="8"/>
        <v>0</v>
      </c>
      <c r="AT36" s="116">
        <f t="shared" si="8"/>
        <v>0</v>
      </c>
      <c r="AU36" s="116">
        <f t="shared" si="8"/>
        <v>0</v>
      </c>
      <c r="AV36" s="117">
        <f t="shared" si="8"/>
        <v>0</v>
      </c>
      <c r="AW36" s="118">
        <f>SUM(E36:AV36)</f>
        <v>1200</v>
      </c>
      <c r="AX36" s="118">
        <f t="shared" si="3"/>
        <v>0</v>
      </c>
      <c r="AY36" s="119">
        <f t="shared" si="4"/>
        <v>1</v>
      </c>
    </row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4">
    <mergeCell ref="AC5:AF5"/>
    <mergeCell ref="AG5:AJ5"/>
    <mergeCell ref="A23:C23"/>
    <mergeCell ref="A36:C36"/>
    <mergeCell ref="AK5:AN5"/>
    <mergeCell ref="AO5:AR5"/>
    <mergeCell ref="A1:AY4"/>
    <mergeCell ref="E5:H5"/>
    <mergeCell ref="I5:L5"/>
    <mergeCell ref="M5:P5"/>
    <mergeCell ref="Q5:T5"/>
    <mergeCell ref="U5:X5"/>
    <mergeCell ref="Y5:AB5"/>
    <mergeCell ref="AS5:AV5"/>
  </mergeCells>
  <printOptions horizontalCentered="1" verticalCentered="1"/>
  <pageMargins bottom="0.748031496062992" footer="0.0" header="0.0" left="0.708661417322835" right="0.708661417322835" top="0.748031496062992"/>
  <pageSetup paperSize="9" scale="55" orientation="landscape"/>
  <drawing r:id="rId1"/>
</worksheet>
</file>